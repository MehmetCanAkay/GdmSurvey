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AS Haritası" sheetId="1" state="visible" r:id="rId1"/>
    <sheet name="Madde Özeti" sheetId="2" state="visible" r:id="rId2"/>
    <sheet name="Örnek CAS Hesabı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color rgb="FF0000FF"/>
      <sz val="10"/>
    </font>
    <font>
      <name val="Arial"/>
      <charset val="1"/>
      <family val="0"/>
      <color rgb="FF008000"/>
      <sz val="10"/>
    </font>
  </fonts>
  <fills count="8">
    <fill>
      <patternFill/>
    </fill>
    <fill>
      <patternFill patternType="gray125"/>
    </fill>
    <fill>
      <patternFill patternType="solid">
        <fgColor rgb="FF2F5496"/>
        <bgColor rgb="FF4472C4"/>
      </patternFill>
    </fill>
    <fill>
      <patternFill patternType="solid">
        <fgColor rgb="FF4472C4"/>
        <bgColor rgb="FF666699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D9E1F2"/>
        <bgColor rgb="FFE2EFDA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7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0" fillId="6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3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17" min="1" max="1"/>
    <col width="15" customWidth="1" style="17" min="2" max="2"/>
    <col width="17" customWidth="1" style="17" min="3" max="3"/>
    <col width="34" customWidth="1" style="17" min="4" max="4"/>
    <col width="6" customWidth="1" style="17" min="5" max="9"/>
    <col width="10" customWidth="1" style="17" min="10" max="11"/>
    <col width="24" customWidth="1" style="17" min="12" max="12"/>
    <col width="50" customWidth="1" style="17" min="13" max="13"/>
  </cols>
  <sheetData>
    <row r="1" ht="27.75" customHeight="1" s="18">
      <c r="A1" s="19" t="inlineStr">
        <is>
          <t>30 SORU — PUANLANACAK CAS MADDELERİ</t>
        </is>
      </c>
    </row>
    <row r="2" ht="15" customHeight="1" s="18">
      <c r="A2" s="20" t="inlineStr">
        <is>
          <t>✓ = puanlanır · – = puanlanmaz. Sarı hücreler karar bekleyen sınır durumlardır. M1–M5 hücreleri açılır listeden değiştirilebilir; sayım ve maksimum puan otomatik güncellenir.</t>
        </is>
      </c>
    </row>
    <row r="3" ht="23.85" customHeight="1" s="18">
      <c r="A3" s="21" t="inlineStr">
        <is>
          <t>Soru</t>
        </is>
      </c>
      <c r="B3" s="21" t="inlineStr">
        <is>
          <t>Tip</t>
        </is>
      </c>
      <c r="C3" s="21" t="inlineStr">
        <is>
          <t>Eksen</t>
        </is>
      </c>
      <c r="D3" s="21" t="inlineStr">
        <is>
          <t>Konu</t>
        </is>
      </c>
      <c r="E3" s="21" t="inlineStr">
        <is>
          <t>M1</t>
        </is>
      </c>
      <c r="F3" s="21" t="inlineStr">
        <is>
          <t>M2</t>
        </is>
      </c>
      <c r="G3" s="21" t="inlineStr">
        <is>
          <t>M3</t>
        </is>
      </c>
      <c r="H3" s="21" t="inlineStr">
        <is>
          <t>M4</t>
        </is>
      </c>
      <c r="I3" s="21" t="inlineStr">
        <is>
          <t>M5</t>
        </is>
      </c>
      <c r="J3" s="21" t="inlineStr">
        <is>
          <t>Madde sayısı</t>
        </is>
      </c>
      <c r="K3" s="21" t="inlineStr">
        <is>
          <t>Maks. puan</t>
        </is>
      </c>
      <c r="L3" s="21" t="inlineStr">
        <is>
          <t>Önceki listeye göre değişiklik</t>
        </is>
      </c>
      <c r="M3" s="21" t="inlineStr">
        <is>
          <t>Not</t>
        </is>
      </c>
    </row>
    <row r="4" ht="15" customHeight="1" s="18">
      <c r="A4" s="22" t="inlineStr">
        <is>
          <t>Q1</t>
        </is>
      </c>
      <c r="B4" s="23" t="inlineStr">
        <is>
          <t>Hasta-türevli</t>
        </is>
      </c>
      <c r="C4" s="23" t="inlineStr">
        <is>
          <t>Mutfak/Beslenme</t>
        </is>
      </c>
      <c r="D4" s="23" t="inlineStr">
        <is>
          <t>Genel beslenme, ekmek/tokluk</t>
        </is>
      </c>
      <c r="E4" s="24" t="inlineStr">
        <is>
          <t>✓</t>
        </is>
      </c>
      <c r="F4" s="25" t="inlineStr">
        <is>
          <t>–</t>
        </is>
      </c>
      <c r="G4" s="25" t="inlineStr">
        <is>
          <t>–</t>
        </is>
      </c>
      <c r="H4" s="25" t="inlineStr">
        <is>
          <t>–</t>
        </is>
      </c>
      <c r="I4" s="24" t="inlineStr">
        <is>
          <t>✓</t>
        </is>
      </c>
      <c r="J4" s="26">
        <f>COUNTIF(E4:I4,"✓")</f>
        <v/>
      </c>
      <c r="K4" s="26">
        <f>J4*2</f>
        <v/>
      </c>
      <c r="L4" s="23" t="n"/>
      <c r="M4" s="23" t="n"/>
    </row>
    <row r="5" ht="15" customHeight="1" s="18">
      <c r="A5" s="22" t="inlineStr">
        <is>
          <t>Q2</t>
        </is>
      </c>
      <c r="B5" s="23" t="inlineStr">
        <is>
          <t>Hasta-türevli</t>
        </is>
      </c>
      <c r="C5" s="23" t="inlineStr">
        <is>
          <t>Mutfak/Beslenme</t>
        </is>
      </c>
      <c r="D5" s="23" t="inlineStr">
        <is>
          <t>Karbonhidrat miktarı</t>
        </is>
      </c>
      <c r="E5" s="24" t="inlineStr">
        <is>
          <t>✓</t>
        </is>
      </c>
      <c r="F5" s="25" t="inlineStr">
        <is>
          <t>–</t>
        </is>
      </c>
      <c r="G5" s="25" t="inlineStr">
        <is>
          <t>–</t>
        </is>
      </c>
      <c r="H5" s="25" t="inlineStr">
        <is>
          <t>–</t>
        </is>
      </c>
      <c r="I5" s="24" t="inlineStr">
        <is>
          <t>✓</t>
        </is>
      </c>
      <c r="J5" s="26">
        <f>COUNTIF(E5:I5,"✓")</f>
        <v/>
      </c>
      <c r="K5" s="26">
        <f>J5*2</f>
        <v/>
      </c>
      <c r="L5" s="23" t="n"/>
      <c r="M5" s="23" t="n"/>
    </row>
    <row r="6" ht="15" customHeight="1" s="18">
      <c r="A6" s="22" t="inlineStr">
        <is>
          <t>Q3</t>
        </is>
      </c>
      <c r="B6" s="23" t="inlineStr">
        <is>
          <t>Hasta-türevli</t>
        </is>
      </c>
      <c r="C6" s="23" t="inlineStr">
        <is>
          <t>Mutfak/Beslenme</t>
        </is>
      </c>
      <c r="D6" s="23" t="inlineStr">
        <is>
          <t>Tatlı isteği</t>
        </is>
      </c>
      <c r="E6" s="24" t="inlineStr">
        <is>
          <t>✓</t>
        </is>
      </c>
      <c r="F6" s="25" t="inlineStr">
        <is>
          <t>–</t>
        </is>
      </c>
      <c r="G6" s="25" t="inlineStr">
        <is>
          <t>–</t>
        </is>
      </c>
      <c r="H6" s="25" t="inlineStr">
        <is>
          <t>–</t>
        </is>
      </c>
      <c r="I6" s="24" t="inlineStr">
        <is>
          <t>✓</t>
        </is>
      </c>
      <c r="J6" s="26">
        <f>COUNTIF(E6:I6,"✓")</f>
        <v/>
      </c>
      <c r="K6" s="26">
        <f>J6*2</f>
        <v/>
      </c>
      <c r="L6" s="23" t="n"/>
      <c r="M6" s="23" t="n"/>
    </row>
    <row r="7" ht="15" customHeight="1" s="18">
      <c r="A7" s="22" t="inlineStr">
        <is>
          <t>Q4</t>
        </is>
      </c>
      <c r="B7" s="23" t="inlineStr">
        <is>
          <t>Hasta-türevli</t>
        </is>
      </c>
      <c r="C7" s="23" t="inlineStr">
        <is>
          <t>Mutfak/Beslenme</t>
        </is>
      </c>
      <c r="D7" s="23" t="inlineStr">
        <is>
          <t>Meyve, karpuz</t>
        </is>
      </c>
      <c r="E7" s="24" t="inlineStr">
        <is>
          <t>✓</t>
        </is>
      </c>
      <c r="F7" s="25" t="inlineStr">
        <is>
          <t>–</t>
        </is>
      </c>
      <c r="G7" s="25" t="inlineStr">
        <is>
          <t>–</t>
        </is>
      </c>
      <c r="H7" s="25" t="inlineStr">
        <is>
          <t>–</t>
        </is>
      </c>
      <c r="I7" s="24" t="inlineStr">
        <is>
          <t>✓</t>
        </is>
      </c>
      <c r="J7" s="26">
        <f>COUNTIF(E7:I7,"✓")</f>
        <v/>
      </c>
      <c r="K7" s="26">
        <f>J7*2</f>
        <v/>
      </c>
      <c r="L7" s="23" t="n"/>
      <c r="M7" s="23" t="n"/>
    </row>
    <row r="8" ht="15" customHeight="1" s="18">
      <c r="A8" s="22" t="inlineStr">
        <is>
          <t>Q5</t>
        </is>
      </c>
      <c r="B8" s="23" t="inlineStr">
        <is>
          <t>Hasta-türevli</t>
        </is>
      </c>
      <c r="C8" s="23" t="inlineStr">
        <is>
          <t>Mutfak/Beslenme</t>
        </is>
      </c>
      <c r="D8" s="23" t="inlineStr">
        <is>
          <t>Meyveli soda</t>
        </is>
      </c>
      <c r="E8" s="24" t="inlineStr">
        <is>
          <t>✓</t>
        </is>
      </c>
      <c r="F8" s="25" t="inlineStr">
        <is>
          <t>–</t>
        </is>
      </c>
      <c r="G8" s="25" t="inlineStr">
        <is>
          <t>–</t>
        </is>
      </c>
      <c r="H8" s="25" t="inlineStr">
        <is>
          <t>–</t>
        </is>
      </c>
      <c r="I8" s="24" t="inlineStr">
        <is>
          <t>✓</t>
        </is>
      </c>
      <c r="J8" s="26">
        <f>COUNTIF(E8:I8,"✓")</f>
        <v/>
      </c>
      <c r="K8" s="26">
        <f>J8*2</f>
        <v/>
      </c>
      <c r="L8" s="23" t="n"/>
      <c r="M8" s="23" t="n"/>
    </row>
    <row r="9" ht="15" customHeight="1" s="18">
      <c r="A9" s="22" t="inlineStr">
        <is>
          <t>Q6</t>
        </is>
      </c>
      <c r="B9" s="23" t="inlineStr">
        <is>
          <t>Hasta-türevli</t>
        </is>
      </c>
      <c r="C9" s="23" t="inlineStr">
        <is>
          <t>Oruç</t>
        </is>
      </c>
      <c r="D9" s="23" t="inlineStr">
        <is>
          <t>Sahur-iftar beslenmesi</t>
        </is>
      </c>
      <c r="E9" s="24" t="inlineStr">
        <is>
          <t>✓</t>
        </is>
      </c>
      <c r="F9" s="24" t="inlineStr">
        <is>
          <t>✓</t>
        </is>
      </c>
      <c r="G9" s="25" t="inlineStr">
        <is>
          <t>–</t>
        </is>
      </c>
      <c r="H9" s="25" t="inlineStr">
        <is>
          <t>–</t>
        </is>
      </c>
      <c r="I9" s="24" t="inlineStr">
        <is>
          <t>✓</t>
        </is>
      </c>
      <c r="J9" s="26">
        <f>COUNTIF(E9:I9,"✓")</f>
        <v/>
      </c>
      <c r="K9" s="26">
        <f>J9*2</f>
        <v/>
      </c>
      <c r="L9" s="23" t="n"/>
      <c r="M9" s="23" t="n"/>
    </row>
    <row r="10" ht="15" customHeight="1" s="18">
      <c r="A10" s="22" t="inlineStr">
        <is>
          <t>Q7</t>
        </is>
      </c>
      <c r="B10" s="23" t="inlineStr">
        <is>
          <t>Hasta-türevli</t>
        </is>
      </c>
      <c r="C10" s="23" t="inlineStr">
        <is>
          <t>Oruç</t>
        </is>
      </c>
      <c r="D10" s="23" t="inlineStr">
        <is>
          <t>Uzun açlık, bebeğe etkisi</t>
        </is>
      </c>
      <c r="E10" s="25" t="inlineStr">
        <is>
          <t>–</t>
        </is>
      </c>
      <c r="F10" s="24" t="inlineStr">
        <is>
          <t>✓</t>
        </is>
      </c>
      <c r="G10" s="25" t="inlineStr">
        <is>
          <t>–</t>
        </is>
      </c>
      <c r="H10" s="25" t="inlineStr">
        <is>
          <t>–</t>
        </is>
      </c>
      <c r="I10" s="24" t="inlineStr">
        <is>
          <t>✓</t>
        </is>
      </c>
      <c r="J10" s="26">
        <f>COUNTIF(E10:I10,"✓")</f>
        <v/>
      </c>
      <c r="K10" s="26">
        <f>J10*2</f>
        <v/>
      </c>
      <c r="L10" s="23" t="n"/>
      <c r="M10" s="23" t="n"/>
    </row>
    <row r="11" ht="15" customHeight="1" s="18">
      <c r="A11" s="22" t="inlineStr">
        <is>
          <t>Q8</t>
        </is>
      </c>
      <c r="B11" s="23" t="inlineStr">
        <is>
          <t>Hasta-türevli</t>
        </is>
      </c>
      <c r="C11" s="23" t="inlineStr">
        <is>
          <t>Oruç</t>
        </is>
      </c>
      <c r="D11" s="23" t="inlineStr">
        <is>
          <t>Oruçta baş dönmesi, bayılma</t>
        </is>
      </c>
      <c r="E11" s="25" t="inlineStr">
        <is>
          <t>–</t>
        </is>
      </c>
      <c r="F11" s="24" t="inlineStr">
        <is>
          <t>✓</t>
        </is>
      </c>
      <c r="G11" s="25" t="inlineStr">
        <is>
          <t>–</t>
        </is>
      </c>
      <c r="H11" s="25" t="inlineStr">
        <is>
          <t>–</t>
        </is>
      </c>
      <c r="I11" s="24" t="inlineStr">
        <is>
          <t>✓</t>
        </is>
      </c>
      <c r="J11" s="26">
        <f>COUNTIF(E11:I11,"✓")</f>
        <v/>
      </c>
      <c r="K11" s="26">
        <f>J11*2</f>
        <v/>
      </c>
      <c r="L11" s="23" t="n"/>
      <c r="M11" s="23" t="n"/>
    </row>
    <row r="12" ht="15" customHeight="1" s="18">
      <c r="A12" s="22" t="inlineStr">
        <is>
          <t>Q9</t>
        </is>
      </c>
      <c r="B12" s="23" t="inlineStr">
        <is>
          <t>Hasta-türevli</t>
        </is>
      </c>
      <c r="C12" s="23" t="inlineStr">
        <is>
          <t>Oruç</t>
        </is>
      </c>
      <c r="D12" s="23" t="inlineStr">
        <is>
          <t>Oruç tutabilir miyim</t>
        </is>
      </c>
      <c r="E12" s="25" t="inlineStr">
        <is>
          <t>–</t>
        </is>
      </c>
      <c r="F12" s="24" t="inlineStr">
        <is>
          <t>✓</t>
        </is>
      </c>
      <c r="G12" s="25" t="inlineStr">
        <is>
          <t>–</t>
        </is>
      </c>
      <c r="H12" s="25" t="inlineStr">
        <is>
          <t>–</t>
        </is>
      </c>
      <c r="I12" s="24" t="inlineStr">
        <is>
          <t>✓</t>
        </is>
      </c>
      <c r="J12" s="26">
        <f>COUNTIF(E12:I12,"✓")</f>
        <v/>
      </c>
      <c r="K12" s="26">
        <f>J12*2</f>
        <v/>
      </c>
      <c r="L12" s="23" t="n"/>
      <c r="M12" s="23" t="n"/>
    </row>
    <row r="13" ht="15" customHeight="1" s="18">
      <c r="A13" s="22" t="inlineStr">
        <is>
          <t>Q10</t>
        </is>
      </c>
      <c r="B13" s="23" t="inlineStr">
        <is>
          <t>Hasta-türevli</t>
        </is>
      </c>
      <c r="C13" s="23" t="inlineStr">
        <is>
          <t>Lohusa</t>
        </is>
      </c>
      <c r="D13" s="23" t="inlineStr">
        <is>
          <t>Lohusalıkta takip ve diyet</t>
        </is>
      </c>
      <c r="E13" s="24" t="inlineStr">
        <is>
          <t>✓</t>
        </is>
      </c>
      <c r="F13" s="25" t="inlineStr">
        <is>
          <t>–</t>
        </is>
      </c>
      <c r="G13" s="25" t="inlineStr">
        <is>
          <t>–</t>
        </is>
      </c>
      <c r="H13" s="25" t="inlineStr">
        <is>
          <t>–</t>
        </is>
      </c>
      <c r="I13" s="24" t="inlineStr">
        <is>
          <t>✓</t>
        </is>
      </c>
      <c r="J13" s="26">
        <f>COUNTIF(E13:I13,"✓")</f>
        <v/>
      </c>
      <c r="K13" s="26">
        <f>J13*2</f>
        <v/>
      </c>
      <c r="L13" s="23" t="inlineStr">
        <is>
          <t>M4 yerine M1</t>
        </is>
      </c>
      <c r="M13" s="23" t="n"/>
    </row>
    <row r="14" ht="15" customHeight="1" s="18">
      <c r="A14" s="22" t="inlineStr">
        <is>
          <t>Q11</t>
        </is>
      </c>
      <c r="B14" s="23" t="inlineStr">
        <is>
          <t>Hasta-türevli</t>
        </is>
      </c>
      <c r="C14" s="23" t="inlineStr">
        <is>
          <t>Lohusa</t>
        </is>
      </c>
      <c r="D14" s="23" t="inlineStr">
        <is>
          <t>Lohusa şerbeti, lapa</t>
        </is>
      </c>
      <c r="E14" s="24" t="inlineStr">
        <is>
          <t>✓</t>
        </is>
      </c>
      <c r="F14" s="25" t="inlineStr">
        <is>
          <t>–</t>
        </is>
      </c>
      <c r="G14" s="25" t="inlineStr">
        <is>
          <t>–</t>
        </is>
      </c>
      <c r="H14" s="24" t="inlineStr">
        <is>
          <t>✓</t>
        </is>
      </c>
      <c r="I14" s="24" t="inlineStr">
        <is>
          <t>✓</t>
        </is>
      </c>
      <c r="J14" s="26">
        <f>COUNTIF(E14:I14,"✓")</f>
        <v/>
      </c>
      <c r="K14" s="26">
        <f>J14*2</f>
        <v/>
      </c>
      <c r="L14" s="23" t="n"/>
      <c r="M14" s="23" t="n"/>
    </row>
    <row r="15" ht="15" customHeight="1" s="18">
      <c r="A15" s="22" t="inlineStr">
        <is>
          <t>Q12</t>
        </is>
      </c>
      <c r="B15" s="23" t="inlineStr">
        <is>
          <t>Hasta-türevli</t>
        </is>
      </c>
      <c r="C15" s="23" t="inlineStr">
        <is>
          <t>Lohusa</t>
        </is>
      </c>
      <c r="D15" s="23" t="inlineStr">
        <is>
          <t>Şekerli besin sütü artırır mı</t>
        </is>
      </c>
      <c r="E15" s="24" t="inlineStr">
        <is>
          <t>✓</t>
        </is>
      </c>
      <c r="F15" s="25" t="inlineStr">
        <is>
          <t>–</t>
        </is>
      </c>
      <c r="G15" s="25" t="inlineStr">
        <is>
          <t>–</t>
        </is>
      </c>
      <c r="H15" s="24" t="inlineStr">
        <is>
          <t>✓</t>
        </is>
      </c>
      <c r="I15" s="24" t="inlineStr">
        <is>
          <t>✓</t>
        </is>
      </c>
      <c r="J15" s="26">
        <f>COUNTIF(E15:I15,"✓")</f>
        <v/>
      </c>
      <c r="K15" s="26">
        <f>J15*2</f>
        <v/>
      </c>
      <c r="L15" s="23" t="inlineStr">
        <is>
          <t>M1 eklendi</t>
        </is>
      </c>
      <c r="M15" s="23" t="n"/>
    </row>
    <row r="16" ht="15" customHeight="1" s="18">
      <c r="A16" s="22" t="inlineStr">
        <is>
          <t>Q13</t>
        </is>
      </c>
      <c r="B16" s="23" t="inlineStr">
        <is>
          <t>Hasta-türevli</t>
        </is>
      </c>
      <c r="C16" s="23" t="inlineStr">
        <is>
          <t>Lohusa</t>
        </is>
      </c>
      <c r="D16" s="23" t="inlineStr">
        <is>
          <t>Doğum sonrası kalıcılık, kilo</t>
        </is>
      </c>
      <c r="E16" s="25" t="inlineStr">
        <is>
          <t>–</t>
        </is>
      </c>
      <c r="F16" s="25" t="inlineStr">
        <is>
          <t>–</t>
        </is>
      </c>
      <c r="G16" s="25" t="inlineStr">
        <is>
          <t>–</t>
        </is>
      </c>
      <c r="H16" s="25" t="inlineStr">
        <is>
          <t>–</t>
        </is>
      </c>
      <c r="I16" s="24" t="inlineStr">
        <is>
          <t>✓</t>
        </is>
      </c>
      <c r="J16" s="26">
        <f>COUNTIF(E16:I16,"✓")</f>
        <v/>
      </c>
      <c r="K16" s="26">
        <f>J16*2</f>
        <v/>
      </c>
      <c r="L16" s="23" t="n"/>
      <c r="M16" s="23" t="n"/>
    </row>
    <row r="17" ht="15" customHeight="1" s="18">
      <c r="A17" s="22" t="inlineStr">
        <is>
          <t>Q14</t>
        </is>
      </c>
      <c r="B17" s="23" t="inlineStr">
        <is>
          <t>Hasta-türevli</t>
        </is>
      </c>
      <c r="C17" s="23" t="inlineStr">
        <is>
          <t>Lohusa</t>
        </is>
      </c>
      <c r="D17" s="23" t="inlineStr">
        <is>
          <t>Bebeğin diyabet riski</t>
        </is>
      </c>
      <c r="E17" s="25" t="inlineStr">
        <is>
          <t>–</t>
        </is>
      </c>
      <c r="F17" s="25" t="inlineStr">
        <is>
          <t>–</t>
        </is>
      </c>
      <c r="G17" s="25" t="inlineStr">
        <is>
          <t>–</t>
        </is>
      </c>
      <c r="H17" s="25" t="inlineStr">
        <is>
          <t>–</t>
        </is>
      </c>
      <c r="I17" s="24" t="inlineStr">
        <is>
          <t>✓</t>
        </is>
      </c>
      <c r="J17" s="26">
        <f>COUNTIF(E17:I17,"✓")</f>
        <v/>
      </c>
      <c r="K17" s="26">
        <f>J17*2</f>
        <v/>
      </c>
      <c r="L17" s="23" t="n"/>
      <c r="M17" s="23" t="n"/>
    </row>
    <row r="18" ht="15" customHeight="1" s="18">
      <c r="A18" s="22" t="inlineStr">
        <is>
          <t>Q15</t>
        </is>
      </c>
      <c r="B18" s="23" t="inlineStr">
        <is>
          <t>Hasta-türevli</t>
        </is>
      </c>
      <c r="C18" s="23" t="inlineStr">
        <is>
          <t>Sağlık Sistemi</t>
        </is>
      </c>
      <c r="D18" s="23" t="inlineStr">
        <is>
          <t>Ölçüm cihazı, SGK</t>
        </is>
      </c>
      <c r="E18" s="25" t="inlineStr">
        <is>
          <t>–</t>
        </is>
      </c>
      <c r="F18" s="25" t="inlineStr">
        <is>
          <t>–</t>
        </is>
      </c>
      <c r="G18" s="24" t="inlineStr">
        <is>
          <t>✓</t>
        </is>
      </c>
      <c r="H18" s="25" t="inlineStr">
        <is>
          <t>–</t>
        </is>
      </c>
      <c r="I18" s="24" t="inlineStr">
        <is>
          <t>✓</t>
        </is>
      </c>
      <c r="J18" s="26">
        <f>COUNTIF(E18:I18,"✓")</f>
        <v/>
      </c>
      <c r="K18" s="26">
        <f>J18*2</f>
        <v/>
      </c>
      <c r="L18" s="23" t="n"/>
      <c r="M18" s="23" t="n"/>
    </row>
    <row r="19" ht="15" customHeight="1" s="18">
      <c r="A19" s="22" t="inlineStr">
        <is>
          <t>Q16</t>
        </is>
      </c>
      <c r="B19" s="23" t="inlineStr">
        <is>
          <t>Hasta-türevli</t>
        </is>
      </c>
      <c r="C19" s="23" t="inlineStr">
        <is>
          <t>Sağlık Sistemi</t>
        </is>
      </c>
      <c r="D19" s="23" t="inlineStr">
        <is>
          <t>Stik, insülin ücreti</t>
        </is>
      </c>
      <c r="E19" s="25" t="inlineStr">
        <is>
          <t>–</t>
        </is>
      </c>
      <c r="F19" s="25" t="inlineStr">
        <is>
          <t>–</t>
        </is>
      </c>
      <c r="G19" s="24" t="inlineStr">
        <is>
          <t>✓</t>
        </is>
      </c>
      <c r="H19" s="25" t="inlineStr">
        <is>
          <t>–</t>
        </is>
      </c>
      <c r="I19" s="24" t="inlineStr">
        <is>
          <t>✓</t>
        </is>
      </c>
      <c r="J19" s="26">
        <f>COUNTIF(E19:I19,"✓")</f>
        <v/>
      </c>
      <c r="K19" s="26">
        <f>J19*2</f>
        <v/>
      </c>
      <c r="L19" s="23" t="n"/>
      <c r="M19" s="23" t="n"/>
    </row>
    <row r="20" ht="15" customHeight="1" s="18">
      <c r="A20" s="22" t="inlineStr">
        <is>
          <t>Q17</t>
        </is>
      </c>
      <c r="B20" s="23" t="inlineStr">
        <is>
          <t>Hasta-türevli</t>
        </is>
      </c>
      <c r="C20" s="23" t="inlineStr">
        <is>
          <t>Sosyal/Aile</t>
        </is>
      </c>
      <c r="D20" s="23" t="inlineStr">
        <is>
          <t>Sosyal ortamda diyet</t>
        </is>
      </c>
      <c r="E20" s="24" t="inlineStr">
        <is>
          <t>✓</t>
        </is>
      </c>
      <c r="F20" s="25" t="inlineStr">
        <is>
          <t>–</t>
        </is>
      </c>
      <c r="G20" s="25" t="inlineStr">
        <is>
          <t>–</t>
        </is>
      </c>
      <c r="H20" s="25" t="inlineStr">
        <is>
          <t>–</t>
        </is>
      </c>
      <c r="I20" s="24" t="inlineStr">
        <is>
          <t>✓</t>
        </is>
      </c>
      <c r="J20" s="26">
        <f>COUNTIF(E20:I20,"✓")</f>
        <v/>
      </c>
      <c r="K20" s="26">
        <f>J20*2</f>
        <v/>
      </c>
      <c r="L20" s="23" t="inlineStr">
        <is>
          <t>M1 eklendi</t>
        </is>
      </c>
      <c r="M20" s="23" t="n"/>
    </row>
    <row r="21" ht="23.85" customHeight="1" s="18">
      <c r="A21" s="22" t="inlineStr">
        <is>
          <t>Q18</t>
        </is>
      </c>
      <c r="B21" s="23" t="inlineStr">
        <is>
          <t>Hasta-türevli</t>
        </is>
      </c>
      <c r="C21" s="23" t="inlineStr">
        <is>
          <t>Sosyal/Aile</t>
        </is>
      </c>
      <c r="D21" s="23" t="inlineStr">
        <is>
          <t>Misafirlik, bayram tatlısı</t>
        </is>
      </c>
      <c r="E21" s="24" t="inlineStr">
        <is>
          <t>✓</t>
        </is>
      </c>
      <c r="F21" s="27" t="inlineStr">
        <is>
          <t>✓</t>
        </is>
      </c>
      <c r="G21" s="25" t="inlineStr">
        <is>
          <t>–</t>
        </is>
      </c>
      <c r="H21" s="25" t="inlineStr">
        <is>
          <t>–</t>
        </is>
      </c>
      <c r="I21" s="24" t="inlineStr">
        <is>
          <t>✓</t>
        </is>
      </c>
      <c r="J21" s="26">
        <f>COUNTIF(E21:I21,"✓")</f>
        <v/>
      </c>
      <c r="K21" s="26">
        <f>J21*2</f>
        <v/>
      </c>
      <c r="L21" s="23" t="n"/>
      <c r="M21" s="23" t="inlineStr">
        <is>
          <t>M2: Sınır durum: bayram dini bir gün ama soru oruçla ilgili değil. Fazla zorlama bulunursa '–' yapılabilir.</t>
        </is>
      </c>
    </row>
    <row r="22" ht="15" customHeight="1" s="18">
      <c r="A22" s="22" t="inlineStr">
        <is>
          <t>Q19</t>
        </is>
      </c>
      <c r="B22" s="23" t="inlineStr">
        <is>
          <t>Hasta-türevli</t>
        </is>
      </c>
      <c r="C22" s="23" t="inlineStr">
        <is>
          <t>Sosyal/Aile</t>
        </is>
      </c>
      <c r="D22" s="23" t="inlineStr">
        <is>
          <t>Aşerme</t>
        </is>
      </c>
      <c r="E22" s="24" t="inlineStr">
        <is>
          <t>✓</t>
        </is>
      </c>
      <c r="F22" s="25" t="inlineStr">
        <is>
          <t>–</t>
        </is>
      </c>
      <c r="G22" s="25" t="inlineStr">
        <is>
          <t>–</t>
        </is>
      </c>
      <c r="H22" s="24" t="inlineStr">
        <is>
          <t>✓</t>
        </is>
      </c>
      <c r="I22" s="24" t="inlineStr">
        <is>
          <t>✓</t>
        </is>
      </c>
      <c r="J22" s="26">
        <f>COUNTIF(E22:I22,"✓")</f>
        <v/>
      </c>
      <c r="K22" s="26">
        <f>J22*2</f>
        <v/>
      </c>
      <c r="L22" s="23" t="inlineStr">
        <is>
          <t>M1 eklendi</t>
        </is>
      </c>
      <c r="M22" s="23" t="n"/>
    </row>
    <row r="23" ht="15" customHeight="1" s="18">
      <c r="A23" s="22" t="inlineStr">
        <is>
          <t>Q20</t>
        </is>
      </c>
      <c r="B23" s="23" t="inlineStr">
        <is>
          <t>Hasta-türevli</t>
        </is>
      </c>
      <c r="C23" s="23" t="inlineStr">
        <is>
          <t>Sosyal/Aile</t>
        </is>
      </c>
      <c r="D23" s="23" t="inlineStr">
        <is>
          <t>Aile baskısı, "limon ye geçer"</t>
        </is>
      </c>
      <c r="E23" s="24" t="inlineStr">
        <is>
          <t>✓</t>
        </is>
      </c>
      <c r="F23" s="25" t="inlineStr">
        <is>
          <t>–</t>
        </is>
      </c>
      <c r="G23" s="25" t="inlineStr">
        <is>
          <t>–</t>
        </is>
      </c>
      <c r="H23" s="24" t="inlineStr">
        <is>
          <t>✓</t>
        </is>
      </c>
      <c r="I23" s="24" t="inlineStr">
        <is>
          <t>✓</t>
        </is>
      </c>
      <c r="J23" s="26">
        <f>COUNTIF(E23:I23,"✓")</f>
        <v/>
      </c>
      <c r="K23" s="26">
        <f>J23*2</f>
        <v/>
      </c>
      <c r="L23" s="23" t="inlineStr">
        <is>
          <t>M1 eklendi</t>
        </is>
      </c>
      <c r="M23" s="23" t="n"/>
    </row>
    <row r="24" ht="15" customHeight="1" s="18">
      <c r="A24" s="22" t="inlineStr">
        <is>
          <t>K1</t>
        </is>
      </c>
      <c r="B24" s="23" t="inlineStr">
        <is>
          <t>Kılavuz vakası</t>
        </is>
      </c>
      <c r="C24" s="23" t="inlineStr">
        <is>
          <t>Mutfak/Beslenme</t>
        </is>
      </c>
      <c r="D24" s="23" t="inlineStr">
        <is>
          <t>Tatlandırıcı (gün ortamı)</t>
        </is>
      </c>
      <c r="E24" s="24" t="inlineStr">
        <is>
          <t>✓</t>
        </is>
      </c>
      <c r="F24" s="25" t="inlineStr">
        <is>
          <t>–</t>
        </is>
      </c>
      <c r="G24" s="25" t="inlineStr">
        <is>
          <t>–</t>
        </is>
      </c>
      <c r="H24" s="25" t="inlineStr">
        <is>
          <t>–</t>
        </is>
      </c>
      <c r="I24" s="24" t="inlineStr">
        <is>
          <t>✓</t>
        </is>
      </c>
      <c r="J24" s="26">
        <f>COUNTIF(E24:I24,"✓")</f>
        <v/>
      </c>
      <c r="K24" s="26">
        <f>J24*2</f>
        <v/>
      </c>
      <c r="L24" s="23" t="n"/>
      <c r="M24" s="23" t="n"/>
    </row>
    <row r="25" ht="15" customHeight="1" s="18">
      <c r="A25" s="22" t="inlineStr">
        <is>
          <t>K2</t>
        </is>
      </c>
      <c r="B25" s="23" t="inlineStr">
        <is>
          <t>Kılavuz vakası</t>
        </is>
      </c>
      <c r="C25" s="23" t="inlineStr">
        <is>
          <t>Mutfak/Beslenme</t>
        </is>
      </c>
      <c r="D25" s="23" t="inlineStr">
        <is>
          <t>Yemek sonrası meyve (kayınvalide)</t>
        </is>
      </c>
      <c r="E25" s="24" t="inlineStr">
        <is>
          <t>✓</t>
        </is>
      </c>
      <c r="F25" s="25" t="inlineStr">
        <is>
          <t>–</t>
        </is>
      </c>
      <c r="G25" s="25" t="inlineStr">
        <is>
          <t>–</t>
        </is>
      </c>
      <c r="H25" s="24" t="inlineStr">
        <is>
          <t>✓</t>
        </is>
      </c>
      <c r="I25" s="24" t="inlineStr">
        <is>
          <t>✓</t>
        </is>
      </c>
      <c r="J25" s="26">
        <f>COUNTIF(E25:I25,"✓")</f>
        <v/>
      </c>
      <c r="K25" s="26">
        <f>J25*2</f>
        <v/>
      </c>
      <c r="L25" s="23" t="inlineStr">
        <is>
          <t>M4 eklendi</t>
        </is>
      </c>
      <c r="M25" s="23" t="n"/>
    </row>
    <row r="26" ht="15" customHeight="1" s="18">
      <c r="A26" s="22" t="inlineStr">
        <is>
          <t>K3</t>
        </is>
      </c>
      <c r="B26" s="23" t="inlineStr">
        <is>
          <t>Kılavuz vakası</t>
        </is>
      </c>
      <c r="C26" s="23" t="inlineStr">
        <is>
          <t>Oruç</t>
        </is>
      </c>
      <c r="D26" s="23" t="inlineStr">
        <is>
          <t>Diyetle izlenen GDM'de oruç</t>
        </is>
      </c>
      <c r="E26" s="24" t="inlineStr">
        <is>
          <t>✓</t>
        </is>
      </c>
      <c r="F26" s="24" t="inlineStr">
        <is>
          <t>✓</t>
        </is>
      </c>
      <c r="G26" s="25" t="inlineStr">
        <is>
          <t>–</t>
        </is>
      </c>
      <c r="H26" s="25" t="inlineStr">
        <is>
          <t>–</t>
        </is>
      </c>
      <c r="I26" s="24" t="inlineStr">
        <is>
          <t>✓</t>
        </is>
      </c>
      <c r="J26" s="26">
        <f>COUNTIF(E26:I26,"✓")</f>
        <v/>
      </c>
      <c r="K26" s="26">
        <f>J26*2</f>
        <v/>
      </c>
      <c r="L26" s="23" t="n"/>
      <c r="M26" s="23" t="n"/>
    </row>
    <row r="27" ht="15" customHeight="1" s="18">
      <c r="A27" s="22" t="inlineStr">
        <is>
          <t>K4</t>
        </is>
      </c>
      <c r="B27" s="23" t="inlineStr">
        <is>
          <t>Kılavuz vakası</t>
        </is>
      </c>
      <c r="C27" s="23" t="inlineStr">
        <is>
          <t>Oruç</t>
        </is>
      </c>
      <c r="D27" s="23" t="inlineStr">
        <is>
          <t>İnsülinle oruç</t>
        </is>
      </c>
      <c r="E27" s="25" t="inlineStr">
        <is>
          <t>–</t>
        </is>
      </c>
      <c r="F27" s="24" t="inlineStr">
        <is>
          <t>✓</t>
        </is>
      </c>
      <c r="G27" s="25" t="inlineStr">
        <is>
          <t>–</t>
        </is>
      </c>
      <c r="H27" s="25" t="inlineStr">
        <is>
          <t>–</t>
        </is>
      </c>
      <c r="I27" s="24" t="inlineStr">
        <is>
          <t>✓</t>
        </is>
      </c>
      <c r="J27" s="26">
        <f>COUNTIF(E27:I27,"✓")</f>
        <v/>
      </c>
      <c r="K27" s="26">
        <f>J27*2</f>
        <v/>
      </c>
      <c r="L27" s="23" t="n"/>
      <c r="M27" s="23" t="n"/>
    </row>
    <row r="28" ht="15" customHeight="1" s="18">
      <c r="A28" s="22" t="inlineStr">
        <is>
          <t>K5</t>
        </is>
      </c>
      <c r="B28" s="23" t="inlineStr">
        <is>
          <t>Kılavuz vakası</t>
        </is>
      </c>
      <c r="C28" s="23" t="inlineStr">
        <is>
          <t>Lohusa</t>
        </is>
      </c>
      <c r="D28" s="23" t="inlineStr">
        <is>
          <t>Lohusa şerbeti, mevlit</t>
        </is>
      </c>
      <c r="E28" s="24" t="inlineStr">
        <is>
          <t>✓</t>
        </is>
      </c>
      <c r="F28" s="24" t="inlineStr">
        <is>
          <t>✓</t>
        </is>
      </c>
      <c r="G28" s="25" t="inlineStr">
        <is>
          <t>–</t>
        </is>
      </c>
      <c r="H28" s="24" t="inlineStr">
        <is>
          <t>✓</t>
        </is>
      </c>
      <c r="I28" s="24" t="inlineStr">
        <is>
          <t>✓</t>
        </is>
      </c>
      <c r="J28" s="26">
        <f>COUNTIF(E28:I28,"✓")</f>
        <v/>
      </c>
      <c r="K28" s="26">
        <f>J28*2</f>
        <v/>
      </c>
      <c r="L28" s="23" t="n"/>
      <c r="M28" s="23" t="n"/>
    </row>
    <row r="29" ht="35.05" customHeight="1" s="18">
      <c r="A29" s="22" t="inlineStr">
        <is>
          <t>K6</t>
        </is>
      </c>
      <c r="B29" s="23" t="inlineStr">
        <is>
          <t>Kılavuz vakası</t>
        </is>
      </c>
      <c r="C29" s="23" t="inlineStr">
        <is>
          <t>Sağlık Sistemi</t>
        </is>
      </c>
      <c r="D29" s="23" t="inlineStr">
        <is>
          <t>İnsülin saklama, bayram yolculuğu</t>
        </is>
      </c>
      <c r="E29" s="25" t="inlineStr">
        <is>
          <t>–</t>
        </is>
      </c>
      <c r="F29" s="25" t="inlineStr">
        <is>
          <t>–</t>
        </is>
      </c>
      <c r="G29" s="27" t="inlineStr">
        <is>
          <t>✓</t>
        </is>
      </c>
      <c r="H29" s="25" t="inlineStr">
        <is>
          <t>–</t>
        </is>
      </c>
      <c r="I29" s="24" t="inlineStr">
        <is>
          <t>✓</t>
        </is>
      </c>
      <c r="J29" s="26">
        <f>COUNTIF(E29:I29,"✓")</f>
        <v/>
      </c>
      <c r="K29" s="26">
        <f>J29*2</f>
        <v/>
      </c>
      <c r="L29" s="23" t="n"/>
      <c r="M29" s="23" t="inlineStr">
        <is>
          <t>M3: Sınır durum: SGK sorusu değil; nöbetçi eczane/112 gibi Türkiye'ye özgü yönlendirmeyi ölçer. Fazla geniş bulunursa '–' yapılabilir.</t>
        </is>
      </c>
    </row>
    <row r="30" ht="15" customHeight="1" s="18">
      <c r="A30" s="22" t="inlineStr">
        <is>
          <t>K7</t>
        </is>
      </c>
      <c r="B30" s="23" t="inlineStr">
        <is>
          <t>Kılavuz vakası</t>
        </is>
      </c>
      <c r="C30" s="23" t="inlineStr">
        <is>
          <t>Sağlık Sistemi</t>
        </is>
      </c>
      <c r="D30" s="23" t="inlineStr">
        <is>
          <t>Ölçüm çubukları, SGK</t>
        </is>
      </c>
      <c r="E30" s="25" t="inlineStr">
        <is>
          <t>–</t>
        </is>
      </c>
      <c r="F30" s="25" t="inlineStr">
        <is>
          <t>–</t>
        </is>
      </c>
      <c r="G30" s="24" t="inlineStr">
        <is>
          <t>✓</t>
        </is>
      </c>
      <c r="H30" s="25" t="inlineStr">
        <is>
          <t>–</t>
        </is>
      </c>
      <c r="I30" s="24" t="inlineStr">
        <is>
          <t>✓</t>
        </is>
      </c>
      <c r="J30" s="26">
        <f>COUNTIF(E30:I30,"✓")</f>
        <v/>
      </c>
      <c r="K30" s="26">
        <f>J30*2</f>
        <v/>
      </c>
      <c r="L30" s="23" t="n"/>
      <c r="M30" s="23" t="n"/>
    </row>
    <row r="31" ht="15" customHeight="1" s="18">
      <c r="A31" s="22" t="inlineStr">
        <is>
          <t>K8</t>
        </is>
      </c>
      <c r="B31" s="23" t="inlineStr">
        <is>
          <t>Kılavuz vakası</t>
        </is>
      </c>
      <c r="C31" s="23" t="inlineStr">
        <is>
          <t>Sağlık Sistemi</t>
        </is>
      </c>
      <c r="D31" s="23" t="inlineStr">
        <is>
          <t>CGM, SGK</t>
        </is>
      </c>
      <c r="E31" s="25" t="inlineStr">
        <is>
          <t>–</t>
        </is>
      </c>
      <c r="F31" s="25" t="inlineStr">
        <is>
          <t>–</t>
        </is>
      </c>
      <c r="G31" s="24" t="inlineStr">
        <is>
          <t>✓</t>
        </is>
      </c>
      <c r="H31" s="25" t="inlineStr">
        <is>
          <t>–</t>
        </is>
      </c>
      <c r="I31" s="24" t="inlineStr">
        <is>
          <t>✓</t>
        </is>
      </c>
      <c r="J31" s="26">
        <f>COUNTIF(E31:I31,"✓")</f>
        <v/>
      </c>
      <c r="K31" s="26">
        <f>J31*2</f>
        <v/>
      </c>
      <c r="L31" s="23" t="n"/>
      <c r="M31" s="23" t="n"/>
    </row>
    <row r="32" ht="15" customHeight="1" s="18">
      <c r="A32" s="22" t="inlineStr">
        <is>
          <t>K9</t>
        </is>
      </c>
      <c r="B32" s="23" t="inlineStr">
        <is>
          <t>Kılavuz vakası</t>
        </is>
      </c>
      <c r="C32" s="23" t="inlineStr">
        <is>
          <t>Sosyal/Aile</t>
        </is>
      </c>
      <c r="D32" s="23" t="inlineStr">
        <is>
          <t>Ev işleri egzersiz sayılır mı</t>
        </is>
      </c>
      <c r="E32" s="25" t="inlineStr">
        <is>
          <t>–</t>
        </is>
      </c>
      <c r="F32" s="25" t="inlineStr">
        <is>
          <t>–</t>
        </is>
      </c>
      <c r="G32" s="25" t="inlineStr">
        <is>
          <t>–</t>
        </is>
      </c>
      <c r="H32" s="25" t="inlineStr">
        <is>
          <t>–</t>
        </is>
      </c>
      <c r="I32" s="24" t="inlineStr">
        <is>
          <t>✓</t>
        </is>
      </c>
      <c r="J32" s="26">
        <f>COUNTIF(E32:I32,"✓")</f>
        <v/>
      </c>
      <c r="K32" s="26">
        <f>J32*2</f>
        <v/>
      </c>
      <c r="L32" s="23" t="n"/>
      <c r="M32" s="23" t="n"/>
    </row>
    <row r="33" ht="15" customHeight="1" s="18">
      <c r="A33" s="22" t="inlineStr">
        <is>
          <t>K10</t>
        </is>
      </c>
      <c r="B33" s="23" t="inlineStr">
        <is>
          <t>Kılavuz vakası</t>
        </is>
      </c>
      <c r="C33" s="23" t="inlineStr">
        <is>
          <t>Sosyal/Aile</t>
        </is>
      </c>
      <c r="D33" s="23" t="inlineStr">
        <is>
          <t>Baklava, aşerme-leke inanışı</t>
        </is>
      </c>
      <c r="E33" s="24" t="inlineStr">
        <is>
          <t>✓</t>
        </is>
      </c>
      <c r="F33" s="25" t="inlineStr">
        <is>
          <t>–</t>
        </is>
      </c>
      <c r="G33" s="25" t="inlineStr">
        <is>
          <t>–</t>
        </is>
      </c>
      <c r="H33" s="24" t="inlineStr">
        <is>
          <t>✓</t>
        </is>
      </c>
      <c r="I33" s="24" t="inlineStr">
        <is>
          <t>✓</t>
        </is>
      </c>
      <c r="J33" s="26">
        <f>COUNTIF(E33:I33,"✓")</f>
        <v/>
      </c>
      <c r="K33" s="26">
        <f>J33*2</f>
        <v/>
      </c>
      <c r="L33" s="23" t="n"/>
      <c r="M33" s="23" t="n"/>
    </row>
    <row r="34" ht="23.85" customHeight="1" s="18">
      <c r="A34" s="28" t="inlineStr">
        <is>
          <t>TOPLAM</t>
        </is>
      </c>
      <c r="B34" s="29" t="n"/>
      <c r="C34" s="29" t="n"/>
      <c r="D34" s="29" t="n"/>
      <c r="E34" s="30">
        <f>COUNTIF(E4:E33,"✓")</f>
        <v/>
      </c>
      <c r="F34" s="30">
        <f>COUNTIF(F4:F33,"✓")</f>
        <v/>
      </c>
      <c r="G34" s="30">
        <f>COUNTIF(G4:G33,"✓")</f>
        <v/>
      </c>
      <c r="H34" s="30">
        <f>COUNTIF(H4:H33,"✓")</f>
        <v/>
      </c>
      <c r="I34" s="30">
        <f>COUNTIF(I4:I33,"✓")</f>
        <v/>
      </c>
      <c r="J34" s="30">
        <f>SUM(J4:J33)</f>
        <v/>
      </c>
      <c r="K34" s="30">
        <f>SUM(K4:K33)</f>
        <v/>
      </c>
      <c r="L34" s="29" t="n"/>
      <c r="M34" s="29" t="n"/>
    </row>
  </sheetData>
  <mergeCells count="2">
    <mergeCell ref="A2:M2"/>
    <mergeCell ref="A1:M1"/>
  </mergeCells>
  <dataValidations count="1">
    <dataValidation sqref="E4:I33" showDropDown="0" showInputMessage="0" showErrorMessage="0" allowBlank="0" type="list" errorStyle="stop" operator="between">
      <formula1>"✓,–"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17" min="1" max="1"/>
    <col width="32" customWidth="1" style="17" min="2" max="2"/>
    <col width="60" customWidth="1" style="17" min="3" max="3"/>
    <col width="22" customWidth="1" style="17" min="4" max="4"/>
  </cols>
  <sheetData>
    <row r="1" ht="27.75" customHeight="1" s="18">
      <c r="A1" s="19" t="inlineStr">
        <is>
          <t>CAS MADDELERİ — UYGULAMA KURALI VE SAYIM</t>
        </is>
      </c>
    </row>
    <row r="2"/>
    <row r="3" ht="15" customHeight="1" s="18">
      <c r="A3" s="21" t="inlineStr">
        <is>
          <t>Madde</t>
        </is>
      </c>
      <c r="B3" s="21" t="inlineStr">
        <is>
          <t>Başlık</t>
        </is>
      </c>
      <c r="C3" s="21" t="inlineStr">
        <is>
          <t>Ne zaman puanlanır?</t>
        </is>
      </c>
      <c r="D3" s="21" t="inlineStr">
        <is>
          <t>Puanlanacak soru sayısı</t>
        </is>
      </c>
    </row>
    <row r="4" ht="15" customHeight="1" s="18">
      <c r="A4" s="22" t="inlineStr">
        <is>
          <t>M1</t>
        </is>
      </c>
      <c r="B4" s="23" t="inlineStr">
        <is>
          <t>Türk gıda terimleri</t>
        </is>
      </c>
      <c r="C4" s="23" t="inlineStr">
        <is>
          <t>Soru yeme-içme tercihine dokunuyorsa</t>
        </is>
      </c>
      <c r="D4" s="31">
        <f>'CAS Haritası'!E34</f>
        <v/>
      </c>
    </row>
    <row r="5" ht="15" customHeight="1" s="18">
      <c r="A5" s="22" t="inlineStr">
        <is>
          <t>M2</t>
        </is>
      </c>
      <c r="B5" s="23" t="inlineStr">
        <is>
          <t>Dini bağlam</t>
        </is>
      </c>
      <c r="C5" s="23" t="inlineStr">
        <is>
          <t>Soru oruç, bayram, mevlit gibi dini bir durum içeriyorsa</t>
        </is>
      </c>
      <c r="D5" s="31">
        <f>'CAS Haritası'!F34</f>
        <v/>
      </c>
    </row>
    <row r="6" ht="15" customHeight="1" s="18">
      <c r="A6" s="22" t="inlineStr">
        <is>
          <t>M3</t>
        </is>
      </c>
      <c r="B6" s="23" t="inlineStr">
        <is>
          <t>Türkiye sağlık sistemi</t>
        </is>
      </c>
      <c r="C6" s="23" t="inlineStr">
        <is>
          <t>Soru ödeme, SGK, ilaç veya cihaz temini içeriyorsa</t>
        </is>
      </c>
      <c r="D6" s="31">
        <f>'CAS Haritası'!G34</f>
        <v/>
      </c>
    </row>
    <row r="7" ht="23.85" customHeight="1" s="18">
      <c r="A7" s="22" t="inlineStr">
        <is>
          <t>M4</t>
        </is>
      </c>
      <c r="B7" s="23" t="inlineStr">
        <is>
          <t>Yerel uygulama / halk inanışı</t>
        </is>
      </c>
      <c r="C7" s="23" t="inlineStr">
        <is>
          <t>Soruda bir gelenek veya halk inanışı geçiyorsa (şerbet, 'bebek aç kalır', aşerme-leke vb.)</t>
        </is>
      </c>
      <c r="D7" s="31">
        <f>'CAS Haritası'!H34</f>
        <v/>
      </c>
    </row>
    <row r="8" ht="15" customHeight="1" s="18">
      <c r="A8" s="22" t="inlineStr">
        <is>
          <t>M5</t>
        </is>
      </c>
      <c r="B8" s="23" t="inlineStr">
        <is>
          <t>Kültürel varsayımlardan kaçınma</t>
        </is>
      </c>
      <c r="C8" s="23" t="inlineStr">
        <is>
          <t>Her soruda</t>
        </is>
      </c>
      <c r="D8" s="31">
        <f>'CAS Haritası'!I34</f>
        <v/>
      </c>
    </row>
    <row r="9" ht="15" customHeight="1" s="18">
      <c r="A9" s="28" t="inlineStr">
        <is>
          <t>TOPLAM</t>
        </is>
      </c>
      <c r="B9" s="29" t="n"/>
      <c r="C9" s="29" t="inlineStr">
        <is>
          <t>Madde-soru eşleşmesi</t>
        </is>
      </c>
      <c r="D9" s="30">
        <f>SUM(D4:D8)</f>
        <v/>
      </c>
    </row>
    <row r="10"/>
    <row r="11" ht="15" customHeight="1" s="18">
      <c r="A11" s="32" t="inlineStr">
        <is>
          <t>Kural</t>
        </is>
      </c>
      <c r="B11" s="23" t="inlineStr">
        <is>
          <t>'Konu dışı' ile 'başarısız' asla aynı sayıyla kodlanmaz. Puanlanmayan madde analizde eksik veri sayılır, 0 değil.</t>
        </is>
      </c>
      <c r="C11" s="33" t="n"/>
      <c r="D11" s="34" t="n"/>
    </row>
    <row r="12" ht="15" customHeight="1" s="18">
      <c r="A12" s="32" t="inlineStr">
        <is>
          <t>Skor</t>
        </is>
      </c>
      <c r="B12" s="23" t="inlineStr">
        <is>
          <t>CAS (%) = alınan puan ÷ (puanlanan madde sayısı × 2) × 100</t>
        </is>
      </c>
      <c r="C12" s="33" t="n"/>
      <c r="D12" s="34" t="n"/>
    </row>
  </sheetData>
  <mergeCells count="3">
    <mergeCell ref="B12:D12"/>
    <mergeCell ref="A1:D1"/>
    <mergeCell ref="B11:D1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17" min="1" max="1"/>
    <col width="20" customWidth="1" style="17" min="2" max="2"/>
    <col width="18" customWidth="1" style="17" min="3" max="3"/>
    <col width="45" customWidth="1" style="17" min="4" max="4"/>
  </cols>
  <sheetData>
    <row r="1" ht="27.75" customHeight="1" s="18">
      <c r="A1" s="19" t="inlineStr">
        <is>
          <t>ÖRNEK — K3 YANITI (R001) İÇİN CAS SKORU</t>
        </is>
      </c>
    </row>
    <row r="2" ht="15" customHeight="1" s="18">
      <c r="A2" s="23" t="inlineStr">
        <is>
          <t>Sarı hücrelere uzman puanı (0, 1 veya 2) girilir; puanlanmayan maddeler boş bırakılır.</t>
        </is>
      </c>
      <c r="B2" s="33" t="n"/>
      <c r="C2" s="33" t="n"/>
      <c r="D2" s="34" t="n"/>
    </row>
    <row r="3" ht="15" customHeight="1" s="18">
      <c r="A3" s="21" t="inlineStr">
        <is>
          <t>Madde</t>
        </is>
      </c>
      <c r="B3" s="21" t="inlineStr">
        <is>
          <t>K3'te puanlanır mı?</t>
        </is>
      </c>
      <c r="C3" s="21" t="inlineStr">
        <is>
          <t>Uzman puanı (0-2)</t>
        </is>
      </c>
      <c r="D3" s="21" t="inlineStr">
        <is>
          <t>Açıklama</t>
        </is>
      </c>
    </row>
    <row r="4" ht="15" customHeight="1" s="18">
      <c r="A4" s="22" t="inlineStr">
        <is>
          <t>M1</t>
        </is>
      </c>
      <c r="B4" s="31">
        <f>'CAS Haritası'!E26</f>
        <v/>
      </c>
      <c r="C4" s="35" t="n">
        <v>1</v>
      </c>
      <c r="D4" s="23" t="inlineStr">
        <is>
          <t>"Dengeli beslenme" denmiş, somut gıda yok</t>
        </is>
      </c>
    </row>
    <row r="5" ht="15" customHeight="1" s="18">
      <c r="A5" s="22" t="inlineStr">
        <is>
          <t>M2</t>
        </is>
      </c>
      <c r="B5" s="31">
        <f>'CAS Haritası'!F26</f>
        <v/>
      </c>
      <c r="C5" s="35" t="n">
        <v>1</v>
      </c>
      <c r="D5" s="23" t="inlineStr">
        <is>
          <t>Ramazan'ı tanıyor, muafiyet ve strateji yok</t>
        </is>
      </c>
    </row>
    <row r="6" ht="15" customHeight="1" s="18">
      <c r="A6" s="22" t="inlineStr">
        <is>
          <t>M3</t>
        </is>
      </c>
      <c r="B6" s="31">
        <f>'CAS Haritası'!G26</f>
        <v/>
      </c>
      <c r="C6" s="25" t="n"/>
      <c r="D6" s="23" t="inlineStr">
        <is>
          <t>Bu soruda puanlanmaz</t>
        </is>
      </c>
    </row>
    <row r="7" ht="15" customHeight="1" s="18">
      <c r="A7" s="22" t="inlineStr">
        <is>
          <t>M4</t>
        </is>
      </c>
      <c r="B7" s="31">
        <f>'CAS Haritası'!H26</f>
        <v/>
      </c>
      <c r="C7" s="25" t="n"/>
      <c r="D7" s="23" t="inlineStr">
        <is>
          <t>Bu soruda puanlanmaz</t>
        </is>
      </c>
    </row>
    <row r="8" ht="15" customHeight="1" s="18">
      <c r="A8" s="22" t="inlineStr">
        <is>
          <t>M5</t>
        </is>
      </c>
      <c r="B8" s="31">
        <f>'CAS Haritası'!I26</f>
        <v/>
      </c>
      <c r="C8" s="35" t="n">
        <v>2</v>
      </c>
      <c r="D8" s="23" t="inlineStr">
        <is>
          <t>Batı-merkezli varsayım yok</t>
        </is>
      </c>
    </row>
    <row r="9"/>
    <row r="10" ht="15" customHeight="1" s="18">
      <c r="A10" s="32" t="inlineStr">
        <is>
          <t>Alınan puan</t>
        </is>
      </c>
      <c r="C10" s="26">
        <f>SUM(C4:C8)</f>
        <v/>
      </c>
    </row>
    <row r="11" ht="15" customHeight="1" s="18">
      <c r="A11" s="32" t="inlineStr">
        <is>
          <t>Maksimum puan</t>
        </is>
      </c>
      <c r="C11" s="26">
        <f>COUNTIF(B4:B8,"✓")*2</f>
        <v/>
      </c>
    </row>
    <row r="12" ht="15" customHeight="1" s="18">
      <c r="A12" s="32" t="inlineStr">
        <is>
          <t>CAS (%)</t>
        </is>
      </c>
      <c r="C12" s="36">
        <f>IFERROR(C10/C11,0)</f>
        <v/>
      </c>
    </row>
  </sheetData>
  <mergeCells count="2">
    <mergeCell ref="A1:D1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2026-10-07T19:38:30Z</dcterms:created>
  <dcterms:modified xsi:type="dcterms:W3CDTF">2026-10-07T20:36:44Z</dcterms:modified>
  <cp:revision>0</cp:revision>
</cp:coreProperties>
</file>