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S Haritası" sheetId="1" state="visible" r:id="rId3"/>
    <sheet name="Madde Özeti" sheetId="2" state="visible" r:id="rId4"/>
    <sheet name="Örnek CAS Hesabı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<sst xmlns="http://schemas.openxmlformats.org/spreadsheetml/2006/main" count="339" uniqueCount="122">
  <si>
    <t xml:space="preserve">30 SORU — PUANLANACAK CAS MADDELERİ</t>
  </si>
  <si>
    <t xml:space="preserve">✓ = puanlanır · – = puanlanmaz. Sarı hücreler karar bekleyen sınır durumlardır. M1–M5 hücreleri açılır listeden değiştirilebilir; sayım ve maksimum puan otomatik güncellenir.</t>
  </si>
  <si>
    <t xml:space="preserve">Soru</t>
  </si>
  <si>
    <t xml:space="preserve">Tip</t>
  </si>
  <si>
    <t xml:space="preserve">Eksen</t>
  </si>
  <si>
    <t xml:space="preserve">Konu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</si>
  <si>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</si>
  <si>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</si>
  <si>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</si>
  <si>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</si>
  <si>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</si>
  <si>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Madde sayısı</t>
  </si>
  <si>
    <t xml:space="preserve">Maks. puan</t>
  </si>
  <si>
    <t xml:space="preserve">Önceki listeye göre değişiklik</t>
  </si>
  <si>
    <t xml:space="preserve">Not</t>
  </si>
  <si>
    <t xml:space="preserve">Q1</t>
  </si>
  <si>
    <t xml:space="preserve">Hasta-türevli</t>
  </si>
  <si>
    <t xml:space="preserve">Mutfak/Beslenme</t>
  </si>
  <si>
    <t xml:space="preserve">Genel beslenme, ekmek/tokluk</t>
  </si>
  <si>
    <t xml:space="preserve">✓</t>
  </si>
  <si>
    <t xml:space="preserve">–</t>
  </si>
  <si>
    <t xml:space="preserve">Q2</t>
  </si>
  <si>
    <t xml:space="preserve">Karbonhidrat miktarı</t>
  </si>
  <si>
    <t xml:space="preserve">Q3</t>
  </si>
  <si>
    <t xml:space="preserve">Tatlı isteği</t>
  </si>
  <si>
    <t xml:space="preserve">Q4</t>
  </si>
  <si>
    <t xml:space="preserve">Meyve, karpuz</t>
  </si>
  <si>
    <t xml:space="preserve">Q5</t>
  </si>
  <si>
    <t xml:space="preserve">Meyveli soda</t>
  </si>
  <si>
    <t xml:space="preserve">Q6</t>
  </si>
  <si>
    <t xml:space="preserve">Oruç</t>
  </si>
  <si>
    <t xml:space="preserve">Sahur-iftar beslenmesi</t>
  </si>
  <si>
    <t xml:space="preserve">Q7</t>
  </si>
  <si>
    <t xml:space="preserve">Uzun açlık, bebeğe etkisi</t>
  </si>
  <si>
    <t xml:space="preserve">Q8</t>
  </si>
  <si>
    <t xml:space="preserve">Oruçta baş dönmesi, bayılma</t>
  </si>
  <si>
    <t xml:space="preserve">Q9</t>
  </si>
  <si>
    <t xml:space="preserve">Oruç tutabilir miyim</t>
  </si>
  <si>
    <t xml:space="preserve">Q10</t>
  </si>
  <si>
    <t xml:space="preserve">Lohusa</t>
  </si>
  <si>
    <t xml:space="preserve">Lohusalıkta takip ve diyet</t>
  </si>
  <si>
    <t xml:space="preserve">M4 yerine M1</t>
  </si>
  <si>
    <t xml:space="preserve">Q11</t>
  </si>
  <si>
    <t xml:space="preserve">Lohusa şerbeti, lapa</t>
  </si>
  <si>
    <t xml:space="preserve">Q12</t>
  </si>
  <si>
    <t xml:space="preserve">Şekerli besin sütü artırır mı</t>
  </si>
  <si>
    <t xml:space="preserve">M1 eklendi</t>
  </si>
  <si>
    <t xml:space="preserve">Q13</t>
  </si>
  <si>
    <t xml:space="preserve">Doğum sonrası kalıcılık, kilo</t>
  </si>
  <si>
    <t xml:space="preserve">Q14</t>
  </si>
  <si>
    <t xml:space="preserve">Bebeğin diyabet riski</t>
  </si>
  <si>
    <t xml:space="preserve">Q15</t>
  </si>
  <si>
    <t xml:space="preserve">Sağlık Sistemi</t>
  </si>
  <si>
    <t xml:space="preserve">Ölçüm cihazı, SGK</t>
  </si>
  <si>
    <t xml:space="preserve">Q16</t>
  </si>
  <si>
    <t xml:space="preserve">Stik, insülin ücreti</t>
  </si>
  <si>
    <t xml:space="preserve">Q17</t>
  </si>
  <si>
    <t xml:space="preserve">Sosyal/Aile</t>
  </si>
  <si>
    <t xml:space="preserve">Sosyal ortamda diyet</t>
  </si>
  <si>
    <t xml:space="preserve">Q18</t>
  </si>
  <si>
    <t xml:space="preserve">Misafirlik, bayram tatlısı</t>
  </si>
  <si>
    <t xml:space="preserve">M2: Sınır durum: bayram dini bir gün ama soru oruçla ilgili değil. Fazla zorlama bulunursa '–' yapılabilir.</t>
  </si>
  <si>
    <t xml:space="preserve">Q19</t>
  </si>
  <si>
    <t xml:space="preserve">Aşerme</t>
  </si>
  <si>
    <t xml:space="preserve">Q20</t>
  </si>
  <si>
    <t xml:space="preserve">Aile baskısı, "limon ye geçer"</t>
  </si>
  <si>
    <t xml:space="preserve">K1</t>
  </si>
  <si>
    <t xml:space="preserve">Klavuz vakası</t>
  </si>
  <si>
    <t xml:space="preserve">Tatlandırıcı (gün ortamı)</t>
  </si>
  <si>
    <t xml:space="preserve">K2</t>
  </si>
  <si>
    <t xml:space="preserve">Yemek sonrası meyve (kayınvalide)</t>
  </si>
  <si>
    <t xml:space="preserve">M4 eklendi</t>
  </si>
  <si>
    <t xml:space="preserve">K3</t>
  </si>
  <si>
    <t xml:space="preserve">Diyetle izlenen GDM'de oruç</t>
  </si>
  <si>
    <t xml:space="preserve">K4</t>
  </si>
  <si>
    <t xml:space="preserve">İnsülinle oruç</t>
  </si>
  <si>
    <t xml:space="preserve">K5</t>
  </si>
  <si>
    <t xml:space="preserve">Lohusa şerbeti, mevlit</t>
  </si>
  <si>
    <t xml:space="preserve">K6</t>
  </si>
  <si>
    <t xml:space="preserve">İnsülin saklama, bayram yolculuğu</t>
  </si>
  <si>
    <t xml:space="preserve">M3: Sınır durum: SGK sorusu değil; nöbetçi eczane/112 gibi Türkiye'ye özgü yönlendirmeyi ölçer. Fazla geniş bulunursa '–' yapılabilir.</t>
  </si>
  <si>
    <t xml:space="preserve">K7</t>
  </si>
  <si>
    <t xml:space="preserve">Ölçüm çubukları, SGK</t>
  </si>
  <si>
    <t xml:space="preserve">K8</t>
  </si>
  <si>
    <t xml:space="preserve">CGM, SGK</t>
  </si>
  <si>
    <t xml:space="preserve">K9</t>
  </si>
  <si>
    <t xml:space="preserve">Ev işleri egzersiz sayılır mı</t>
  </si>
  <si>
    <t xml:space="preserve">K10</t>
  </si>
  <si>
    <t xml:space="preserve">Baklava, aşerme-leke inanışı</t>
  </si>
  <si>
    <t xml:space="preserve">TOPLAM</t>
  </si>
  <si>
    <t xml:space="preserve">CAS MADDELERİ — UYGULAMA KURALI VE SAYIM</t>
  </si>
  <si>
    <t xml:space="preserve">Madde</t>
  </si>
  <si>
    <t xml:space="preserve">Başlık</t>
  </si>
  <si>
    <t xml:space="preserve">Ne zaman puanlanır?</t>
  </si>
  <si>
    <t xml:space="preserve">Puanlanacak soru sayısı</t>
  </si>
  <si>
    <t xml:space="preserve">Türk gıda terimleri</t>
  </si>
  <si>
    <t xml:space="preserve">Soru yeme-içme tercihine dokunuyorsa</t>
  </si>
  <si>
    <t xml:space="preserve">Dini bağlam</t>
  </si>
  <si>
    <t xml:space="preserve">Soru oruç, bayram, mevlit gibi dini bir durum içeriyorsa</t>
  </si>
  <si>
    <t xml:space="preserve">Türkiye sağlık sistemi</t>
  </si>
  <si>
    <t xml:space="preserve">Soru ödeme, SGK, ilaç veya cihaz temini içeriyorsa</t>
  </si>
  <si>
    <t xml:space="preserve">Yerel uygulama / halk inanışı</t>
  </si>
  <si>
    <t xml:space="preserve">Soruda bir gelenek veya halk inanışı geçiyorsa (şerbet, 'bebek aç kalır', aşerme-leke vb.)</t>
  </si>
  <si>
    <t xml:space="preserve">Kültürel varsayımlardan kaçınma</t>
  </si>
  <si>
    <t xml:space="preserve">Her soruda</t>
  </si>
  <si>
    <t xml:space="preserve">Madde-soru eşleşmesi</t>
  </si>
  <si>
    <t xml:space="preserve">Kural</t>
  </si>
  <si>
    <t xml:space="preserve">'Konu dışı' ile 'başarısız' asla aynı sayıyla kodlanmaz. Puanlanmayan madde analizde eksik veri sayılır, 0 değil.</t>
  </si>
  <si>
    <t xml:space="preserve">Skor</t>
  </si>
  <si>
    <t xml:space="preserve">CAS (%) = alınan puan ÷ (puanlanan madde sayısı × 2) × 100</t>
  </si>
  <si>
    <t xml:space="preserve">ÖRNEK — K3 YANITI (R001) İÇİN CAS SKORU</t>
  </si>
  <si>
    <t xml:space="preserve">Sarı hücrelere uzman puanı (0, 1 veya 2) girilir; puanlanmayan maddeler boş bırakılır.</t>
  </si>
  <si>
    <t xml:space="preserve">K3'te puanlanır mı?</t>
  </si>
  <si>
    <t xml:space="preserve">Uzman puanı (0-2)</t>
  </si>
  <si>
    <t xml:space="preserve">Açıklama</t>
  </si>
  <si>
    <t xml:space="preserve">"Dengeli beslenme" denmiş, somut gıda yok</t>
  </si>
  <si>
    <t xml:space="preserve">Ramazan'ı tanıyor, muafiyet ve strateji yok</t>
  </si>
  <si>
    <t xml:space="preserve">Bu soruda puanlanmaz</t>
  </si>
  <si>
    <t xml:space="preserve">Batı-merkezli varsayım yok</t>
  </si>
  <si>
    <t xml:space="preserve">Alınan puan</t>
  </si>
  <si>
    <t xml:space="preserve">Maksimum puan</t>
  </si>
  <si>
    <t xml:space="preserve">CAS (%)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</si>
</sst>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F5496"/>
        <bgColor rgb="FF4472C4"/>
      </patternFill>
    </fill>
    <fill>
      <patternFill patternType="solid">
        <fgColor rgb="FF4472C4"/>
        <bgColor rgb="FF666699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5"/>
    <col collapsed="false" customWidth="true" hidden="false" outlineLevel="0" max="3" min="3" style="0" width="17"/>
    <col collapsed="false" customWidth="true" hidden="false" outlineLevel="0" max="4" min="4" style="0" width="34"/>
    <col collapsed="false" customWidth="true" hidden="false" outlineLevel="0" max="9" min="5" style="0" width="6"/>
    <col collapsed="false" customWidth="true" hidden="false" outlineLevel="0" max="11" min="10" style="0" width="10"/>
    <col collapsed="false" customWidth="true" hidden="false" outlineLevel="0" max="12" min="12" style="0" width="24"/>
    <col collapsed="false" customWidth="true" hidden="false" outlineLevel="0" max="13" min="13" style="0" width="50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customFormat="false" ht="23.8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14</v>
      </c>
    </row>
    <row r="4" customFormat="false" ht="15" hidden="false" customHeight="false" outlineLevel="0" collapsed="false">
      <c r="A4" s="4" t="s">
        <v>15</v>
      </c>
      <c r="B4" s="5" t="s">
        <v>16</v>
      </c>
      <c r="C4" s="5" t="s">
        <v>17</v>
      </c>
      <c r="D4" s="5" t="s">
        <v>18</v>
      </c>
      <c r="E4" s="6" t="s">
        <v>19</v>
      </c>
      <c r="F4" s="7" t="s">
        <v>20</v>
      </c>
      <c r="G4" s="7" t="s">
        <v>20</v>
      </c>
      <c r="H4" s="7" t="s">
        <v>20</v>
      </c>
      <c r="I4" s="6" t="s">
        <v>19</v>
      </c>
      <c r="J4" s="8" t="n">
        <f aca="false">COUNTIF(E4:I4,"✓")</f>
        <v>2</v>
      </c>
      <c r="K4" s="8" t="n">
        <f aca="false">J4*2</f>
        <v>4</v>
      </c>
      <c r="L4" s="5"/>
      <c r="M4" s="5"/>
    </row>
    <row r="5" customFormat="false" ht="15" hidden="false" customHeight="false" outlineLevel="0" collapsed="false">
      <c r="A5" s="4" t="s">
        <v>21</v>
      </c>
      <c r="B5" s="5" t="s">
        <v>16</v>
      </c>
      <c r="C5" s="5" t="s">
        <v>17</v>
      </c>
      <c r="D5" s="5" t="s">
        <v>22</v>
      </c>
      <c r="E5" s="6" t="s">
        <v>19</v>
      </c>
      <c r="F5" s="7" t="s">
        <v>20</v>
      </c>
      <c r="G5" s="7" t="s">
        <v>20</v>
      </c>
      <c r="H5" s="7" t="s">
        <v>20</v>
      </c>
      <c r="I5" s="6" t="s">
        <v>19</v>
      </c>
      <c r="J5" s="8" t="n">
        <f aca="false">COUNTIF(E5:I5,"✓")</f>
        <v>2</v>
      </c>
      <c r="K5" s="8" t="n">
        <f aca="false">J5*2</f>
        <v>4</v>
      </c>
      <c r="L5" s="5"/>
      <c r="M5" s="5"/>
    </row>
    <row r="6" customFormat="false" ht="15" hidden="false" customHeight="false" outlineLevel="0" collapsed="false">
      <c r="A6" s="4" t="s">
        <v>23</v>
      </c>
      <c r="B6" s="5" t="s">
        <v>16</v>
      </c>
      <c r="C6" s="5" t="s">
        <v>17</v>
      </c>
      <c r="D6" s="5" t="s">
        <v>24</v>
      </c>
      <c r="E6" s="6" t="s">
        <v>19</v>
      </c>
      <c r="F6" s="7" t="s">
        <v>20</v>
      </c>
      <c r="G6" s="7" t="s">
        <v>20</v>
      </c>
      <c r="H6" s="7" t="s">
        <v>20</v>
      </c>
      <c r="I6" s="6" t="s">
        <v>19</v>
      </c>
      <c r="J6" s="8" t="n">
        <f aca="false">COUNTIF(E6:I6,"✓")</f>
        <v>2</v>
      </c>
      <c r="K6" s="8" t="n">
        <f aca="false">J6*2</f>
        <v>4</v>
      </c>
      <c r="L6" s="5"/>
      <c r="M6" s="5"/>
    </row>
    <row r="7" customFormat="false" ht="15" hidden="false" customHeight="false" outlineLevel="0" collapsed="false">
      <c r="A7" s="4" t="s">
        <v>25</v>
      </c>
      <c r="B7" s="5" t="s">
        <v>16</v>
      </c>
      <c r="C7" s="5" t="s">
        <v>17</v>
      </c>
      <c r="D7" s="5" t="s">
        <v>26</v>
      </c>
      <c r="E7" s="6" t="s">
        <v>19</v>
      </c>
      <c r="F7" s="7" t="s">
        <v>20</v>
      </c>
      <c r="G7" s="7" t="s">
        <v>20</v>
      </c>
      <c r="H7" s="7" t="s">
        <v>20</v>
      </c>
      <c r="I7" s="6" t="s">
        <v>19</v>
      </c>
      <c r="J7" s="8" t="n">
        <f aca="false">COUNTIF(E7:I7,"✓")</f>
        <v>2</v>
      </c>
      <c r="K7" s="8" t="n">
        <f aca="false">J7*2</f>
        <v>4</v>
      </c>
      <c r="L7" s="5"/>
      <c r="M7" s="5"/>
    </row>
    <row r="8" customFormat="false" ht="15" hidden="false" customHeight="false" outlineLevel="0" collapsed="false">
      <c r="A8" s="4" t="s">
        <v>27</v>
      </c>
      <c r="B8" s="5" t="s">
        <v>16</v>
      </c>
      <c r="C8" s="5" t="s">
        <v>17</v>
      </c>
      <c r="D8" s="5" t="s">
        <v>28</v>
      </c>
      <c r="E8" s="6" t="s">
        <v>19</v>
      </c>
      <c r="F8" s="7" t="s">
        <v>20</v>
      </c>
      <c r="G8" s="7" t="s">
        <v>20</v>
      </c>
      <c r="H8" s="7" t="s">
        <v>20</v>
      </c>
      <c r="I8" s="6" t="s">
        <v>19</v>
      </c>
      <c r="J8" s="8" t="n">
        <f aca="false">COUNTIF(E8:I8,"✓")</f>
        <v>2</v>
      </c>
      <c r="K8" s="8" t="n">
        <f aca="false">J8*2</f>
        <v>4</v>
      </c>
      <c r="L8" s="5"/>
      <c r="M8" s="5"/>
    </row>
    <row r="9" customFormat="false" ht="15" hidden="false" customHeight="false" outlineLevel="0" collapsed="false">
      <c r="A9" s="4" t="s">
        <v>29</v>
      </c>
      <c r="B9" s="5" t="s">
        <v>16</v>
      </c>
      <c r="C9" s="5" t="s">
        <v>30</v>
      </c>
      <c r="D9" s="5" t="s">
        <v>31</v>
      </c>
      <c r="E9" s="6" t="s">
        <v>19</v>
      </c>
      <c r="F9" s="6" t="s">
        <v>19</v>
      </c>
      <c r="G9" s="7" t="s">
        <v>20</v>
      </c>
      <c r="H9" s="7" t="s">
        <v>20</v>
      </c>
      <c r="I9" s="6" t="s">
        <v>19</v>
      </c>
      <c r="J9" s="8" t="n">
        <f aca="false">COUNTIF(E9:I9,"✓")</f>
        <v>3</v>
      </c>
      <c r="K9" s="8" t="n">
        <f aca="false">J9*2</f>
        <v>6</v>
      </c>
      <c r="L9" s="5"/>
      <c r="M9" s="5"/>
    </row>
    <row r="10" customFormat="false" ht="15" hidden="false" customHeight="false" outlineLevel="0" collapsed="false">
      <c r="A10" s="4" t="s">
        <v>32</v>
      </c>
      <c r="B10" s="5" t="s">
        <v>16</v>
      </c>
      <c r="C10" s="5" t="s">
        <v>30</v>
      </c>
      <c r="D10" s="5" t="s">
        <v>33</v>
      </c>
      <c r="E10" s="7" t="s">
        <v>20</v>
      </c>
      <c r="F10" s="6" t="s">
        <v>19</v>
      </c>
      <c r="G10" s="7" t="s">
        <v>20</v>
      </c>
      <c r="H10" s="7" t="s">
        <v>20</v>
      </c>
      <c r="I10" s="6" t="s">
        <v>19</v>
      </c>
      <c r="J10" s="8" t="n">
        <f aca="false">COUNTIF(E10:I10,"✓")</f>
        <v>2</v>
      </c>
      <c r="K10" s="8" t="n">
        <f aca="false">J10*2</f>
        <v>4</v>
      </c>
      <c r="L10" s="5"/>
      <c r="M10" s="5"/>
    </row>
    <row r="11" customFormat="false" ht="15" hidden="false" customHeight="false" outlineLevel="0" collapsed="false">
      <c r="A11" s="4" t="s">
        <v>34</v>
      </c>
      <c r="B11" s="5" t="s">
        <v>16</v>
      </c>
      <c r="C11" s="5" t="s">
        <v>30</v>
      </c>
      <c r="D11" s="5" t="s">
        <v>35</v>
      </c>
      <c r="E11" s="7" t="s">
        <v>20</v>
      </c>
      <c r="F11" s="6" t="s">
        <v>19</v>
      </c>
      <c r="G11" s="7" t="s">
        <v>20</v>
      </c>
      <c r="H11" s="7" t="s">
        <v>20</v>
      </c>
      <c r="I11" s="6" t="s">
        <v>19</v>
      </c>
      <c r="J11" s="8" t="n">
        <f aca="false">COUNTIF(E11:I11,"✓")</f>
        <v>2</v>
      </c>
      <c r="K11" s="8" t="n">
        <f aca="false">J11*2</f>
        <v>4</v>
      </c>
      <c r="L11" s="5"/>
      <c r="M11" s="5"/>
    </row>
    <row r="12" customFormat="false" ht="15" hidden="false" customHeight="false" outlineLevel="0" collapsed="false">
      <c r="A12" s="4" t="s">
        <v>36</v>
      </c>
      <c r="B12" s="5" t="s">
        <v>16</v>
      </c>
      <c r="C12" s="5" t="s">
        <v>30</v>
      </c>
      <c r="D12" s="5" t="s">
        <v>37</v>
      </c>
      <c r="E12" s="7" t="s">
        <v>20</v>
      </c>
      <c r="F12" s="6" t="s">
        <v>19</v>
      </c>
      <c r="G12" s="7" t="s">
        <v>20</v>
      </c>
      <c r="H12" s="7" t="s">
        <v>20</v>
      </c>
      <c r="I12" s="6" t="s">
        <v>19</v>
      </c>
      <c r="J12" s="8" t="n">
        <f aca="false">COUNTIF(E12:I12,"✓")</f>
        <v>2</v>
      </c>
      <c r="K12" s="8" t="n">
        <f aca="false">J12*2</f>
        <v>4</v>
      </c>
      <c r="L12" s="5"/>
      <c r="M12" s="5"/>
    </row>
    <row r="13" customFormat="false" ht="15" hidden="false" customHeight="false" outlineLevel="0" collapsed="false">
      <c r="A13" s="4" t="s">
        <v>38</v>
      </c>
      <c r="B13" s="5" t="s">
        <v>16</v>
      </c>
      <c r="C13" s="5" t="s">
        <v>39</v>
      </c>
      <c r="D13" s="5" t="s">
        <v>40</v>
      </c>
      <c r="E13" s="6" t="s">
        <v>19</v>
      </c>
      <c r="F13" s="7" t="s">
        <v>20</v>
      </c>
      <c r="G13" s="7" t="s">
        <v>20</v>
      </c>
      <c r="H13" s="7" t="s">
        <v>20</v>
      </c>
      <c r="I13" s="6" t="s">
        <v>19</v>
      </c>
      <c r="J13" s="8" t="n">
        <f aca="false">COUNTIF(E13:I13,"✓")</f>
        <v>2</v>
      </c>
      <c r="K13" s="8" t="n">
        <f aca="false">J13*2</f>
        <v>4</v>
      </c>
      <c r="L13" s="5" t="s">
        <v>41</v>
      </c>
      <c r="M13" s="5"/>
    </row>
    <row r="14" customFormat="false" ht="15" hidden="false" customHeight="false" outlineLevel="0" collapsed="false">
      <c r="A14" s="4" t="s">
        <v>42</v>
      </c>
      <c r="B14" s="5" t="s">
        <v>16</v>
      </c>
      <c r="C14" s="5" t="s">
        <v>39</v>
      </c>
      <c r="D14" s="5" t="s">
        <v>43</v>
      </c>
      <c r="E14" s="6" t="s">
        <v>19</v>
      </c>
      <c r="F14" s="7" t="s">
        <v>20</v>
      </c>
      <c r="G14" s="7" t="s">
        <v>20</v>
      </c>
      <c r="H14" s="6" t="s">
        <v>19</v>
      </c>
      <c r="I14" s="6" t="s">
        <v>19</v>
      </c>
      <c r="J14" s="8" t="n">
        <f aca="false">COUNTIF(E14:I14,"✓")</f>
        <v>3</v>
      </c>
      <c r="K14" s="8" t="n">
        <f aca="false">J14*2</f>
        <v>6</v>
      </c>
      <c r="L14" s="5"/>
      <c r="M14" s="5"/>
    </row>
    <row r="15" customFormat="false" ht="15" hidden="false" customHeight="false" outlineLevel="0" collapsed="false">
      <c r="A15" s="4" t="s">
        <v>44</v>
      </c>
      <c r="B15" s="5" t="s">
        <v>16</v>
      </c>
      <c r="C15" s="5" t="s">
        <v>39</v>
      </c>
      <c r="D15" s="5" t="s">
        <v>45</v>
      </c>
      <c r="E15" s="6" t="s">
        <v>19</v>
      </c>
      <c r="F15" s="7" t="s">
        <v>20</v>
      </c>
      <c r="G15" s="7" t="s">
        <v>20</v>
      </c>
      <c r="H15" s="6" t="s">
        <v>19</v>
      </c>
      <c r="I15" s="6" t="s">
        <v>19</v>
      </c>
      <c r="J15" s="8" t="n">
        <f aca="false">COUNTIF(E15:I15,"✓")</f>
        <v>3</v>
      </c>
      <c r="K15" s="8" t="n">
        <f aca="false">J15*2</f>
        <v>6</v>
      </c>
      <c r="L15" s="5" t="s">
        <v>46</v>
      </c>
      <c r="M15" s="5"/>
    </row>
    <row r="16" customFormat="false" ht="15" hidden="false" customHeight="false" outlineLevel="0" collapsed="false">
      <c r="A16" s="4" t="s">
        <v>47</v>
      </c>
      <c r="B16" s="5" t="s">
        <v>16</v>
      </c>
      <c r="C16" s="5" t="s">
        <v>39</v>
      </c>
      <c r="D16" s="5" t="s">
        <v>48</v>
      </c>
      <c r="E16" s="7" t="s">
        <v>20</v>
      </c>
      <c r="F16" s="7" t="s">
        <v>20</v>
      </c>
      <c r="G16" s="7" t="s">
        <v>20</v>
      </c>
      <c r="H16" s="7" t="s">
        <v>20</v>
      </c>
      <c r="I16" s="6" t="s">
        <v>19</v>
      </c>
      <c r="J16" s="8" t="n">
        <f aca="false">COUNTIF(E16:I16,"✓")</f>
        <v>1</v>
      </c>
      <c r="K16" s="8" t="n">
        <f aca="false">J16*2</f>
        <v>2</v>
      </c>
      <c r="L16" s="5"/>
      <c r="M16" s="5"/>
    </row>
    <row r="17" customFormat="false" ht="15" hidden="false" customHeight="false" outlineLevel="0" collapsed="false">
      <c r="A17" s="4" t="s">
        <v>49</v>
      </c>
      <c r="B17" s="5" t="s">
        <v>16</v>
      </c>
      <c r="C17" s="5" t="s">
        <v>39</v>
      </c>
      <c r="D17" s="5" t="s">
        <v>50</v>
      </c>
      <c r="E17" s="7" t="s">
        <v>20</v>
      </c>
      <c r="F17" s="7" t="s">
        <v>20</v>
      </c>
      <c r="G17" s="7" t="s">
        <v>20</v>
      </c>
      <c r="H17" s="7" t="s">
        <v>20</v>
      </c>
      <c r="I17" s="6" t="s">
        <v>19</v>
      </c>
      <c r="J17" s="8" t="n">
        <f aca="false">COUNTIF(E17:I17,"✓")</f>
        <v>1</v>
      </c>
      <c r="K17" s="8" t="n">
        <f aca="false">J17*2</f>
        <v>2</v>
      </c>
      <c r="L17" s="5"/>
      <c r="M17" s="5"/>
    </row>
    <row r="18" customFormat="false" ht="15" hidden="false" customHeight="false" outlineLevel="0" collapsed="false">
      <c r="A18" s="4" t="s">
        <v>51</v>
      </c>
      <c r="B18" s="5" t="s">
        <v>16</v>
      </c>
      <c r="C18" s="5" t="s">
        <v>52</v>
      </c>
      <c r="D18" s="5" t="s">
        <v>53</v>
      </c>
      <c r="E18" s="7" t="s">
        <v>20</v>
      </c>
      <c r="F18" s="7" t="s">
        <v>20</v>
      </c>
      <c r="G18" s="6" t="s">
        <v>19</v>
      </c>
      <c r="H18" s="7" t="s">
        <v>20</v>
      </c>
      <c r="I18" s="6" t="s">
        <v>19</v>
      </c>
      <c r="J18" s="8" t="n">
        <f aca="false">COUNTIF(E18:I18,"✓")</f>
        <v>2</v>
      </c>
      <c r="K18" s="8" t="n">
        <f aca="false">J18*2</f>
        <v>4</v>
      </c>
      <c r="L18" s="5"/>
      <c r="M18" s="5"/>
    </row>
    <row r="19" customFormat="false" ht="15" hidden="false" customHeight="false" outlineLevel="0" collapsed="false">
      <c r="A19" s="4" t="s">
        <v>54</v>
      </c>
      <c r="B19" s="5" t="s">
        <v>16</v>
      </c>
      <c r="C19" s="5" t="s">
        <v>52</v>
      </c>
      <c r="D19" s="5" t="s">
        <v>55</v>
      </c>
      <c r="E19" s="7" t="s">
        <v>20</v>
      </c>
      <c r="F19" s="7" t="s">
        <v>20</v>
      </c>
      <c r="G19" s="6" t="s">
        <v>19</v>
      </c>
      <c r="H19" s="7" t="s">
        <v>20</v>
      </c>
      <c r="I19" s="6" t="s">
        <v>19</v>
      </c>
      <c r="J19" s="8" t="n">
        <f aca="false">COUNTIF(E19:I19,"✓")</f>
        <v>2</v>
      </c>
      <c r="K19" s="8" t="n">
        <f aca="false">J19*2</f>
        <v>4</v>
      </c>
      <c r="L19" s="5"/>
      <c r="M19" s="5"/>
    </row>
    <row r="20" customFormat="false" ht="15" hidden="false" customHeight="false" outlineLevel="0" collapsed="false">
      <c r="A20" s="4" t="s">
        <v>56</v>
      </c>
      <c r="B20" s="5" t="s">
        <v>16</v>
      </c>
      <c r="C20" s="5" t="s">
        <v>57</v>
      </c>
      <c r="D20" s="5" t="s">
        <v>58</v>
      </c>
      <c r="E20" s="6" t="s">
        <v>19</v>
      </c>
      <c r="F20" s="7" t="s">
        <v>20</v>
      </c>
      <c r="G20" s="7" t="s">
        <v>20</v>
      </c>
      <c r="H20" s="7" t="s">
        <v>20</v>
      </c>
      <c r="I20" s="6" t="s">
        <v>19</v>
      </c>
      <c r="J20" s="8" t="n">
        <f aca="false">COUNTIF(E20:I20,"✓")</f>
        <v>2</v>
      </c>
      <c r="K20" s="8" t="n">
        <f aca="false">J20*2</f>
        <v>4</v>
      </c>
      <c r="L20" s="5" t="s">
        <v>46</v>
      </c>
      <c r="M20" s="5"/>
    </row>
    <row r="21" customFormat="false" ht="23.85" hidden="false" customHeight="false" outlineLevel="0" collapsed="false">
      <c r="A21" s="4" t="s">
        <v>59</v>
      </c>
      <c r="B21" s="5" t="s">
        <v>16</v>
      </c>
      <c r="C21" s="5" t="s">
        <v>57</v>
      </c>
      <c r="D21" s="5" t="s">
        <v>60</v>
      </c>
      <c r="E21" s="6" t="s">
        <v>19</v>
      </c>
      <c r="F21" s="9" t="s">
        <v>19</v>
      </c>
      <c r="G21" s="7" t="s">
        <v>20</v>
      </c>
      <c r="H21" s="7" t="s">
        <v>20</v>
      </c>
      <c r="I21" s="6" t="s">
        <v>19</v>
      </c>
      <c r="J21" s="8" t="n">
        <f aca="false">COUNTIF(E21:I21,"✓")</f>
        <v>3</v>
      </c>
      <c r="K21" s="8" t="n">
        <f aca="false">J21*2</f>
        <v>6</v>
      </c>
      <c r="L21" s="5"/>
      <c r="M21" s="5" t="s">
        <v>61</v>
      </c>
    </row>
    <row r="22" customFormat="false" ht="15" hidden="false" customHeight="false" outlineLevel="0" collapsed="false">
      <c r="A22" s="4" t="s">
        <v>62</v>
      </c>
      <c r="B22" s="5" t="s">
        <v>16</v>
      </c>
      <c r="C22" s="5" t="s">
        <v>57</v>
      </c>
      <c r="D22" s="5" t="s">
        <v>63</v>
      </c>
      <c r="E22" s="6" t="s">
        <v>19</v>
      </c>
      <c r="F22" s="7" t="s">
        <v>20</v>
      </c>
      <c r="G22" s="7" t="s">
        <v>20</v>
      </c>
      <c r="H22" s="6" t="s">
        <v>19</v>
      </c>
      <c r="I22" s="6" t="s">
        <v>19</v>
      </c>
      <c r="J22" s="8" t="n">
        <f aca="false">COUNTIF(E22:I22,"✓")</f>
        <v>3</v>
      </c>
      <c r="K22" s="8" t="n">
        <f aca="false">J22*2</f>
        <v>6</v>
      </c>
      <c r="L22" s="5" t="s">
        <v>46</v>
      </c>
      <c r="M22" s="5"/>
    </row>
    <row r="23" customFormat="false" ht="15" hidden="false" customHeight="false" outlineLevel="0" collapsed="false">
      <c r="A23" s="4" t="s">
        <v>64</v>
      </c>
      <c r="B23" s="5" t="s">
        <v>16</v>
      </c>
      <c r="C23" s="5" t="s">
        <v>57</v>
      </c>
      <c r="D23" s="5" t="s">
        <v>65</v>
      </c>
      <c r="E23" s="6" t="s">
        <v>19</v>
      </c>
      <c r="F23" s="7" t="s">
        <v>20</v>
      </c>
      <c r="G23" s="7" t="s">
        <v>20</v>
      </c>
      <c r="H23" s="6" t="s">
        <v>19</v>
      </c>
      <c r="I23" s="6" t="s">
        <v>19</v>
      </c>
      <c r="J23" s="8" t="n">
        <f aca="false">COUNTIF(E23:I23,"✓")</f>
        <v>3</v>
      </c>
      <c r="K23" s="8" t="n">
        <f aca="false">J23*2</f>
        <v>6</v>
      </c>
      <c r="L23" s="5" t="s">
        <v>46</v>
      </c>
      <c r="M23" s="5"/>
    </row>
    <row r="24" customFormat="false" ht="15" hidden="false" customHeight="false" outlineLevel="0" collapsed="false">
      <c r="A24" s="4" t="s">
        <v>66</v>
      </c>
      <c r="B24" s="5" t="s">
        <v>67</v>
      </c>
      <c r="C24" s="5" t="s">
        <v>17</v>
      </c>
      <c r="D24" s="5" t="s">
        <v>68</v>
      </c>
      <c r="E24" s="6" t="s">
        <v>19</v>
      </c>
      <c r="F24" s="7" t="s">
        <v>20</v>
      </c>
      <c r="G24" s="7" t="s">
        <v>20</v>
      </c>
      <c r="H24" s="7" t="s">
        <v>20</v>
      </c>
      <c r="I24" s="6" t="s">
        <v>19</v>
      </c>
      <c r="J24" s="8" t="n">
        <f aca="false">COUNTIF(E24:I24,"✓")</f>
        <v>2</v>
      </c>
      <c r="K24" s="8" t="n">
        <f aca="false">J24*2</f>
        <v>4</v>
      </c>
      <c r="L24" s="5"/>
      <c r="M24" s="5"/>
    </row>
    <row r="25" customFormat="false" ht="15" hidden="false" customHeight="false" outlineLevel="0" collapsed="false">
      <c r="A25" s="4" t="s">
        <v>69</v>
      </c>
      <c r="B25" s="5" t="s">
        <v>67</v>
      </c>
      <c r="C25" s="5" t="s">
        <v>17</v>
      </c>
      <c r="D25" s="5" t="s">
        <v>70</v>
      </c>
      <c r="E25" s="6" t="s">
        <v>19</v>
      </c>
      <c r="F25" s="7" t="s">
        <v>20</v>
      </c>
      <c r="G25" s="7" t="s">
        <v>20</v>
      </c>
      <c r="H25" s="6" t="s">
        <v>19</v>
      </c>
      <c r="I25" s="6" t="s">
        <v>19</v>
      </c>
      <c r="J25" s="8" t="n">
        <f aca="false">COUNTIF(E25:I25,"✓")</f>
        <v>3</v>
      </c>
      <c r="K25" s="8" t="n">
        <f aca="false">J25*2</f>
        <v>6</v>
      </c>
      <c r="L25" s="5" t="s">
        <v>71</v>
      </c>
      <c r="M25" s="5"/>
    </row>
    <row r="26" customFormat="false" ht="15" hidden="false" customHeight="false" outlineLevel="0" collapsed="false">
      <c r="A26" s="4" t="s">
        <v>72</v>
      </c>
      <c r="B26" s="5" t="s">
        <v>67</v>
      </c>
      <c r="C26" s="5" t="s">
        <v>30</v>
      </c>
      <c r="D26" s="5" t="s">
        <v>73</v>
      </c>
      <c r="E26" s="6" t="s">
        <v>19</v>
      </c>
      <c r="F26" s="6" t="s">
        <v>19</v>
      </c>
      <c r="G26" s="7" t="s">
        <v>20</v>
      </c>
      <c r="H26" s="7" t="s">
        <v>20</v>
      </c>
      <c r="I26" s="6" t="s">
        <v>19</v>
      </c>
      <c r="J26" s="8" t="n">
        <f aca="false">COUNTIF(E26:I26,"✓")</f>
        <v>3</v>
      </c>
      <c r="K26" s="8" t="n">
        <f aca="false">J26*2</f>
        <v>6</v>
      </c>
      <c r="L26" s="5"/>
      <c r="M26" s="5"/>
    </row>
    <row r="27" customFormat="false" ht="15" hidden="false" customHeight="false" outlineLevel="0" collapsed="false">
      <c r="A27" s="4" t="s">
        <v>74</v>
      </c>
      <c r="B27" s="5" t="s">
        <v>67</v>
      </c>
      <c r="C27" s="5" t="s">
        <v>30</v>
      </c>
      <c r="D27" s="5" t="s">
        <v>75</v>
      </c>
      <c r="E27" s="7" t="s">
        <v>20</v>
      </c>
      <c r="F27" s="6" t="s">
        <v>19</v>
      </c>
      <c r="G27" s="7" t="s">
        <v>20</v>
      </c>
      <c r="H27" s="7" t="s">
        <v>20</v>
      </c>
      <c r="I27" s="6" t="s">
        <v>19</v>
      </c>
      <c r="J27" s="8" t="n">
        <f aca="false">COUNTIF(E27:I27,"✓")</f>
        <v>2</v>
      </c>
      <c r="K27" s="8" t="n">
        <f aca="false">J27*2</f>
        <v>4</v>
      </c>
      <c r="L27" s="5"/>
      <c r="M27" s="5"/>
    </row>
    <row r="28" customFormat="false" ht="15" hidden="false" customHeight="false" outlineLevel="0" collapsed="false">
      <c r="A28" s="4" t="s">
        <v>76</v>
      </c>
      <c r="B28" s="5" t="s">
        <v>67</v>
      </c>
      <c r="C28" s="5" t="s">
        <v>39</v>
      </c>
      <c r="D28" s="5" t="s">
        <v>77</v>
      </c>
      <c r="E28" s="6" t="s">
        <v>19</v>
      </c>
      <c r="F28" s="6" t="s">
        <v>19</v>
      </c>
      <c r="G28" s="7" t="s">
        <v>20</v>
      </c>
      <c r="H28" s="6" t="s">
        <v>19</v>
      </c>
      <c r="I28" s="6" t="s">
        <v>19</v>
      </c>
      <c r="J28" s="8" t="n">
        <f aca="false">COUNTIF(E28:I28,"✓")</f>
        <v>4</v>
      </c>
      <c r="K28" s="8" t="n">
        <f aca="false">J28*2</f>
        <v>8</v>
      </c>
      <c r="L28" s="5"/>
      <c r="M28" s="5"/>
    </row>
    <row r="29" customFormat="false" ht="35.05" hidden="false" customHeight="false" outlineLevel="0" collapsed="false">
      <c r="A29" s="4" t="s">
        <v>78</v>
      </c>
      <c r="B29" s="5" t="s">
        <v>67</v>
      </c>
      <c r="C29" s="5" t="s">
        <v>52</v>
      </c>
      <c r="D29" s="5" t="s">
        <v>79</v>
      </c>
      <c r="E29" s="7" t="s">
        <v>20</v>
      </c>
      <c r="F29" s="7" t="s">
        <v>20</v>
      </c>
      <c r="G29" s="9" t="s">
        <v>19</v>
      </c>
      <c r="H29" s="7" t="s">
        <v>20</v>
      </c>
      <c r="I29" s="6" t="s">
        <v>19</v>
      </c>
      <c r="J29" s="8" t="n">
        <f aca="false">COUNTIF(E29:I29,"✓")</f>
        <v>2</v>
      </c>
      <c r="K29" s="8" t="n">
        <f aca="false">J29*2</f>
        <v>4</v>
      </c>
      <c r="L29" s="5"/>
      <c r="M29" s="5" t="s">
        <v>80</v>
      </c>
    </row>
    <row r="30" customFormat="false" ht="15" hidden="false" customHeight="false" outlineLevel="0" collapsed="false">
      <c r="A30" s="4" t="s">
        <v>81</v>
      </c>
      <c r="B30" s="5" t="s">
        <v>67</v>
      </c>
      <c r="C30" s="5" t="s">
        <v>52</v>
      </c>
      <c r="D30" s="5" t="s">
        <v>82</v>
      </c>
      <c r="E30" s="7" t="s">
        <v>20</v>
      </c>
      <c r="F30" s="7" t="s">
        <v>20</v>
      </c>
      <c r="G30" s="6" t="s">
        <v>19</v>
      </c>
      <c r="H30" s="7" t="s">
        <v>20</v>
      </c>
      <c r="I30" s="6" t="s">
        <v>19</v>
      </c>
      <c r="J30" s="8" t="n">
        <f aca="false">COUNTIF(E30:I30,"✓")</f>
        <v>2</v>
      </c>
      <c r="K30" s="8" t="n">
        <f aca="false">J30*2</f>
        <v>4</v>
      </c>
      <c r="L30" s="5"/>
      <c r="M30" s="5"/>
    </row>
    <row r="31" customFormat="false" ht="15" hidden="false" customHeight="false" outlineLevel="0" collapsed="false">
      <c r="A31" s="4" t="s">
        <v>83</v>
      </c>
      <c r="B31" s="5" t="s">
        <v>67</v>
      </c>
      <c r="C31" s="5" t="s">
        <v>52</v>
      </c>
      <c r="D31" s="5" t="s">
        <v>84</v>
      </c>
      <c r="E31" s="7" t="s">
        <v>20</v>
      </c>
      <c r="F31" s="7" t="s">
        <v>20</v>
      </c>
      <c r="G31" s="6" t="s">
        <v>19</v>
      </c>
      <c r="H31" s="7" t="s">
        <v>20</v>
      </c>
      <c r="I31" s="6" t="s">
        <v>19</v>
      </c>
      <c r="J31" s="8" t="n">
        <f aca="false">COUNTIF(E31:I31,"✓")</f>
        <v>2</v>
      </c>
      <c r="K31" s="8" t="n">
        <f aca="false">J31*2</f>
        <v>4</v>
      </c>
      <c r="L31" s="5"/>
      <c r="M31" s="5"/>
    </row>
    <row r="32" customFormat="false" ht="15" hidden="false" customHeight="false" outlineLevel="0" collapsed="false">
      <c r="A32" s="4" t="s">
        <v>85</v>
      </c>
      <c r="B32" s="5" t="s">
        <v>67</v>
      </c>
      <c r="C32" s="5" t="s">
        <v>57</v>
      </c>
      <c r="D32" s="5" t="s">
        <v>86</v>
      </c>
      <c r="E32" s="7" t="s">
        <v>20</v>
      </c>
      <c r="F32" s="7" t="s">
        <v>20</v>
      </c>
      <c r="G32" s="7" t="s">
        <v>20</v>
      </c>
      <c r="H32" s="7" t="s">
        <v>20</v>
      </c>
      <c r="I32" s="6" t="s">
        <v>19</v>
      </c>
      <c r="J32" s="8" t="n">
        <f aca="false">COUNTIF(E32:I32,"✓")</f>
        <v>1</v>
      </c>
      <c r="K32" s="8" t="n">
        <f aca="false">J32*2</f>
        <v>2</v>
      </c>
      <c r="L32" s="5"/>
      <c r="M32" s="5"/>
    </row>
    <row r="33" customFormat="false" ht="15" hidden="false" customHeight="false" outlineLevel="0" collapsed="false">
      <c r="A33" s="4" t="s">
        <v>87</v>
      </c>
      <c r="B33" s="5" t="s">
        <v>67</v>
      </c>
      <c r="C33" s="5" t="s">
        <v>57</v>
      </c>
      <c r="D33" s="5" t="s">
        <v>88</v>
      </c>
      <c r="E33" s="6" t="s">
        <v>19</v>
      </c>
      <c r="F33" s="7" t="s">
        <v>20</v>
      </c>
      <c r="G33" s="7" t="s">
        <v>20</v>
      </c>
      <c r="H33" s="6" t="s">
        <v>19</v>
      </c>
      <c r="I33" s="6" t="s">
        <v>19</v>
      </c>
      <c r="J33" s="8" t="n">
        <f aca="false">COUNTIF(E33:I33,"✓")</f>
        <v>3</v>
      </c>
      <c r="K33" s="8" t="n">
        <f aca="false">J33*2</f>
        <v>6</v>
      </c>
      <c r="L33" s="5"/>
      <c r="M33" s="5"/>
    </row>
    <row r="34" customFormat="false" ht="23.85" hidden="false" customHeight="false" outlineLevel="0" collapsed="false">
      <c r="A34" s="10" t="s">
        <v>89</v>
      </c>
      <c r="B34" s="11"/>
      <c r="C34" s="11"/>
      <c r="D34" s="11"/>
      <c r="E34" s="12" t="n">
        <f aca="false">COUNTIF(E4:E33,"✓")</f>
        <v>18</v>
      </c>
      <c r="F34" s="12" t="n">
        <f aca="false">COUNTIF(F4:F33,"✓")</f>
        <v>8</v>
      </c>
      <c r="G34" s="12" t="n">
        <f aca="false">COUNTIF(G4:G33,"✓")</f>
        <v>5</v>
      </c>
      <c r="H34" s="12" t="n">
        <f aca="false">COUNTIF(H4:H33,"✓")</f>
        <v>7</v>
      </c>
      <c r="I34" s="12" t="n">
        <f aca="false">COUNTIF(I4:I33,"✓")</f>
        <v>30</v>
      </c>
      <c r="J34" s="12" t="n">
        <f aca="false">SUM(J4:J33)</f>
        <v>68</v>
      </c>
      <c r="K34" s="12" t="n">
        <f aca="false">SUM(K4:K33)</f>
        <v>136</v>
      </c>
      <c r="L34" s="11"/>
      <c r="M34" s="11"/>
    </row>
  </sheetData>
  <mergeCells count="2">
    <mergeCell ref="A1:M1"/>
    <mergeCell ref="A2:M2"/>
  </mergeCells>
  <dataValidations count="1">
    <dataValidation allowBlank="false" errorStyle="stop" operator="between" showDropDown="false" showErrorMessage="false" showInputMessage="false" sqref="E4:I33" type="list">
      <formula1>"✓,–"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2"/>
    <col collapsed="false" customWidth="true" hidden="false" outlineLevel="0" max="3" min="3" style="0" width="60"/>
    <col collapsed="false" customWidth="true" hidden="false" outlineLevel="0" max="4" min="4" style="0" width="22"/>
  </cols>
  <sheetData>
    <row r="1" customFormat="false" ht="27.75" hidden="false" customHeight="true" outlineLevel="0" collapsed="false">
      <c r="A1" s="1" t="s">
        <v>90</v>
      </c>
      <c r="B1" s="1"/>
      <c r="C1" s="1"/>
      <c r="D1" s="1"/>
    </row>
    <row r="3" customFormat="false" ht="15" hidden="false" customHeight="false" outlineLevel="0" collapsed="false">
      <c r="A3" s="3" t="s">
        <v>91</v>
      </c>
      <c r="B3" s="3" t="s">
        <v>92</v>
      </c>
      <c r="C3" s="3" t="s">
        <v>93</v>
      </c>
      <c r="D3" s="3" t="s">
        <v>94</v>
      </c>
    </row>
    <row r="4" customFormat="false" ht="15" hidden="false" customHeight="false" outlineLevel="0" collapsed="false">
      <c r="A4" s="4" t="s">
        <v>6</v>
      </c>
      <c r="B4" s="5" t="s">
        <v>95</v>
      </c>
      <c r="C4" s="5" t="s">
        <v>96</v>
      </c>
      <c r="D4" s="13" t="n">
        <f aca="false">'CAS Haritası'!E34</f>
        <v>18</v>
      </c>
    </row>
    <row r="5" customFormat="false" ht="15" hidden="false" customHeight="false" outlineLevel="0" collapsed="false">
      <c r="A5" s="4" t="s">
        <v>7</v>
      </c>
      <c r="B5" s="5" t="s">
        <v>97</v>
      </c>
      <c r="C5" s="5" t="s">
        <v>98</v>
      </c>
      <c r="D5" s="13" t="n">
        <f aca="false">'CAS Haritası'!F34</f>
        <v>8</v>
      </c>
    </row>
    <row r="6" customFormat="false" ht="15" hidden="false" customHeight="false" outlineLevel="0" collapsed="false">
      <c r="A6" s="4" t="s">
        <v>8</v>
      </c>
      <c r="B6" s="5" t="s">
        <v>99</v>
      </c>
      <c r="C6" s="5" t="s">
        <v>100</v>
      </c>
      <c r="D6" s="13" t="n">
        <f aca="false">'CAS Haritası'!G34</f>
        <v>5</v>
      </c>
    </row>
    <row r="7" customFormat="false" ht="23.85" hidden="false" customHeight="false" outlineLevel="0" collapsed="false">
      <c r="A7" s="4" t="s">
        <v>9</v>
      </c>
      <c r="B7" s="5" t="s">
        <v>101</v>
      </c>
      <c r="C7" s="5" t="s">
        <v>102</v>
      </c>
      <c r="D7" s="13" t="n">
        <f aca="false">'CAS Haritası'!H34</f>
        <v>7</v>
      </c>
    </row>
    <row r="8" customFormat="false" ht="15" hidden="false" customHeight="false" outlineLevel="0" collapsed="false">
      <c r="A8" s="4" t="s">
        <v>10</v>
      </c>
      <c r="B8" s="5" t="s">
        <v>103</v>
      </c>
      <c r="C8" s="5" t="s">
        <v>104</v>
      </c>
      <c r="D8" s="13" t="n">
        <f aca="false">'CAS Haritası'!I34</f>
        <v>30</v>
      </c>
    </row>
    <row r="9" customFormat="false" ht="15" hidden="false" customHeight="false" outlineLevel="0" collapsed="false">
      <c r="A9" s="10" t="s">
        <v>89</v>
      </c>
      <c r="B9" s="11"/>
      <c r="C9" s="11" t="s">
        <v>105</v>
      </c>
      <c r="D9" s="12" t="n">
        <f aca="false">SUM(D4:D8)</f>
        <v>68</v>
      </c>
    </row>
    <row r="11" customFormat="false" ht="15" hidden="false" customHeight="true" outlineLevel="0" collapsed="false">
      <c r="A11" s="14" t="s">
        <v>106</v>
      </c>
      <c r="B11" s="5" t="s">
        <v>107</v>
      </c>
      <c r="C11" s="5"/>
      <c r="D11" s="5"/>
    </row>
    <row r="12" customFormat="false" ht="15" hidden="false" customHeight="true" outlineLevel="0" collapsed="false">
      <c r="A12" s="14" t="s">
        <v>108</v>
      </c>
      <c r="B12" s="5" t="s">
        <v>109</v>
      </c>
      <c r="C12" s="5"/>
      <c r="D12" s="5"/>
    </row>
  </sheetData>
  <mergeCells count="3">
    <mergeCell ref="A1:D1"/>
    <mergeCell ref="B11:D11"/>
    <mergeCell ref="B12:D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45"/>
  </cols>
  <sheetData>
    <row r="1" customFormat="false" ht="27.75" hidden="false" customHeight="true" outlineLevel="0" collapsed="false">
      <c r="A1" s="1" t="s">
        <v>110</v>
      </c>
      <c r="B1" s="1"/>
      <c r="C1" s="1"/>
      <c r="D1" s="1"/>
    </row>
    <row r="2" customFormat="false" ht="15" hidden="false" customHeight="true" outlineLevel="0" collapsed="false">
      <c r="A2" s="5" t="s">
        <v>111</v>
      </c>
      <c r="B2" s="5"/>
      <c r="C2" s="5"/>
      <c r="D2" s="5"/>
    </row>
    <row r="3" customFormat="false" ht="15" hidden="false" customHeight="false" outlineLevel="0" collapsed="false">
      <c r="A3" s="3" t="s">
        <v>91</v>
      </c>
      <c r="B3" s="3" t="s">
        <v>112</v>
      </c>
      <c r="C3" s="3" t="s">
        <v>113</v>
      </c>
      <c r="D3" s="3" t="s">
        <v>114</v>
      </c>
    </row>
    <row r="4" customFormat="false" ht="15" hidden="false" customHeight="false" outlineLevel="0" collapsed="false">
      <c r="A4" s="4" t="s">
        <v>6</v>
      </c>
      <c r="B4" s="13" t="str">
        <f aca="false">'CAS Haritası'!E26</f>
        <v>✓</v>
      </c>
      <c r="C4" s="15" t="n">
        <v>1</v>
      </c>
      <c r="D4" s="5" t="s">
        <v>115</v>
      </c>
    </row>
    <row r="5" customFormat="false" ht="15" hidden="false" customHeight="false" outlineLevel="0" collapsed="false">
      <c r="A5" s="4" t="s">
        <v>7</v>
      </c>
      <c r="B5" s="13" t="str">
        <f aca="false">'CAS Haritası'!F26</f>
        <v>✓</v>
      </c>
      <c r="C5" s="15" t="n">
        <v>1</v>
      </c>
      <c r="D5" s="5" t="s">
        <v>116</v>
      </c>
    </row>
    <row r="6" customFormat="false" ht="15" hidden="false" customHeight="false" outlineLevel="0" collapsed="false">
      <c r="A6" s="4" t="s">
        <v>8</v>
      </c>
      <c r="B6" s="13" t="str">
        <f aca="false">'CAS Haritası'!G26</f>
        <v>–</v>
      </c>
      <c r="C6" s="7"/>
      <c r="D6" s="5" t="s">
        <v>117</v>
      </c>
    </row>
    <row r="7" customFormat="false" ht="15" hidden="false" customHeight="false" outlineLevel="0" collapsed="false">
      <c r="A7" s="4" t="s">
        <v>9</v>
      </c>
      <c r="B7" s="13" t="str">
        <f aca="false">'CAS Haritası'!H26</f>
        <v>–</v>
      </c>
      <c r="C7" s="7"/>
      <c r="D7" s="5" t="s">
        <v>117</v>
      </c>
    </row>
    <row r="8" customFormat="false" ht="15" hidden="false" customHeight="false" outlineLevel="0" collapsed="false">
      <c r="A8" s="4" t="s">
        <v>10</v>
      </c>
      <c r="B8" s="13" t="str">
        <f aca="false">'CAS Haritası'!I26</f>
        <v>✓</v>
      </c>
      <c r="C8" s="15" t="n">
        <v>2</v>
      </c>
      <c r="D8" s="5" t="s">
        <v>118</v>
      </c>
    </row>
    <row r="10" customFormat="false" ht="15" hidden="false" customHeight="false" outlineLevel="0" collapsed="false">
      <c r="A10" s="14" t="s">
        <v>119</v>
      </c>
      <c r="C10" s="8" t="n">
        <f aca="false">SUM(C4:C8)</f>
        <v>4</v>
      </c>
    </row>
    <row r="11" customFormat="false" ht="15" hidden="false" customHeight="false" outlineLevel="0" collapsed="false">
      <c r="A11" s="14" t="s">
        <v>120</v>
      </c>
      <c r="C11" s="8" t="n">
        <f aca="false">COUNTIF(B4:B8,"✓")*2</f>
        <v>6</v>
      </c>
    </row>
    <row r="12" customFormat="false" ht="15" hidden="false" customHeight="false" outlineLevel="0" collapsed="false">
      <c r="A12" s="14" t="s">
        <v>121</v>
      </c>
      <c r="C12" s="16" t="n">
        <f aca="false">IFERROR(C10/C11,0)</f>
        <v>0.666666666666667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2026-10-07T19:38:30Z</dcterms:created>
  <dc:creator>openpyxl</dc:creator>
  <dc:description/>
  <dc:language>en-US</dc:language>
  <cp:lastModifiedBy/>
  <dcterms:modified xsi:type="dcterms:W3CDTF">2026-10-07T19:38:30Z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